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51767cb88c73e3/Desktop/Research Data/"/>
    </mc:Choice>
  </mc:AlternateContent>
  <xr:revisionPtr revIDLastSave="2439" documentId="8_{227ABB62-121D-45A2-A7C1-E9E7B6D923A1}" xr6:coauthVersionLast="47" xr6:coauthVersionMax="47" xr10:uidLastSave="{468B2871-B1CE-41D7-8AB6-EC03236B47B0}"/>
  <bookViews>
    <workbookView xWindow="-108" yWindow="-108" windowWidth="23256" windowHeight="13896" activeTab="1" xr2:uid="{CFB072CA-D5A9-40E9-90D8-7F4B0FA3A819}"/>
  </bookViews>
  <sheets>
    <sheet name="EvaluatedRefactorings" sheetId="1" r:id="rId1"/>
    <sheet name="TruePositiveCommitsClean" sheetId="3" r:id="rId2"/>
  </sheets>
  <definedNames>
    <definedName name="ExternalData_1" localSheetId="1" hidden="1">TruePositiveCommitsClean!$A$1:$M$164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1" l="1"/>
  <c r="N14" i="1"/>
  <c r="N13" i="1"/>
  <c r="N12" i="1"/>
  <c r="N11" i="1"/>
  <c r="N10" i="1"/>
  <c r="N9" i="1"/>
  <c r="N8" i="1"/>
  <c r="N7" i="1"/>
  <c r="N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2753D2-C378-401E-A0F8-F965DBA86717}" keepAlive="1" name="Query - TruePositiveCommitsClean" description="Connection to the 'TruePositiveCommitsClean' query in the workbook." type="5" refreshedVersion="8" background="1" saveData="1">
    <dbPr connection="Provider=Microsoft.Mashup.OleDb.1;Data Source=$Workbook$;Location=TruePositiveCommitsClean;Extended Properties=&quot;&quot;" command="SELECT * FROM [TruePositiveCommitsClean]"/>
  </connection>
</connections>
</file>

<file path=xl/sharedStrings.xml><?xml version="1.0" encoding="utf-8"?>
<sst xmlns="http://schemas.openxmlformats.org/spreadsheetml/2006/main" count="2956" uniqueCount="754">
  <si>
    <t>URL</t>
  </si>
  <si>
    <t>https://github.com/AnthusAI/Plexus/commit/36c67ca7c42e9ff3153fd6d8a9957f97a55dbf1e</t>
  </si>
  <si>
    <t>opted for langchain_openai rather than langchain_community.chat_models</t>
  </si>
  <si>
    <t>https://github.com/Mihai-Tirtara/HypochondriAI/commit/c24b8d2c2fc40913415a7883c87a5c8185a17a37</t>
  </si>
  <si>
    <t>refactor the langchain service to follow clean code practices of top-down</t>
  </si>
  <si>
    <t>refactor: rename package from langchain-gradientai to langchain-gradi… · digitalocean/langchain-gradient@046e2e9</t>
  </si>
  <si>
    <t>refactor: rename package from langchain-gradientai to langchain-gradient, update related files and documentation, and remove deprecated code</t>
  </si>
  <si>
    <t>https://github.com/rockc15/model-markets-playground/commit/ab5d0bcafc3930fb82ade557ed6e4b229414280d</t>
  </si>
  <si>
    <t>refactors the code base to use runables by langchain</t>
  </si>
  <si>
    <t>https://github.com/Prajwalkadam29/code-genesis-shift-ea401119/commit/0a0f693ab93188fab7992f336983e26ce58a696c</t>
  </si>
  <si>
    <t>https://github.com/Bek85/pycode/commit/1d2e9fe06b9a3d997f740104272bf77c109776a1</t>
  </si>
  <si>
    <t>refactor: modernize LangChain utilities to use current best practices</t>
  </si>
  <si>
    <t>https://github.com/zanekoch/EndPointApp/commit/ce68096815a8a0aaf164ebb6e2393c992910c520</t>
  </si>
  <si>
    <t>optimize message handling by using LangChain objects throughout</t>
  </si>
  <si>
    <t>improve query routing with LangChain BaseRetriever</t>
  </si>
  <si>
    <t>https://github.com/nickberens360/nickberens-astro/commit/dee52b14e5121c8e746e7a509cf65f8dd5c176f9</t>
  </si>
  <si>
    <t>Refactor LangChain CV Agent: Enhance tool integration and improve YAML parsing, HTML generation, and report saving functionalities</t>
  </si>
  <si>
    <t>https://github.com/TzviGreenfeld/ai-cv-agent/commit/e50b85ed673a2612bbec84ba3f211d6ab80f6dd6#diff-b5db45625e4c49352fa48a2b52c3896512fe36e206e0c536647a1e8d2901e313</t>
  </si>
  <si>
    <t>https://github.com/bytewhisperer11/RAG-components/commit/8b79681d58b9a5553668b581332a3a17d5213676</t>
  </si>
  <si>
    <t>refactor: update LLM initialization to use langchain.chat_models.init_chat_model interface</t>
  </si>
  <si>
    <t>https://github.com/Yaswanth-Mitta/multi/commit/6779ffda3a8a21dec8afb5b57bfee345a8a19798</t>
  </si>
  <si>
    <t>Fix conversational memory and LangChain processing - Improve follow-up question detection with more keywords - Fix LangChain newline formatting (remove double backslashes) - Enhance conversational response formatting - Better session management and memory persistence - Improved follow-up prompt engineering - Program restarts fresh when stopped and restarted</t>
  </si>
  <si>
    <t>Refactored: modularize and streamline agent core modules for LangChain purity</t>
  </si>
  <si>
    <t>Refactored: modularize and streamline agent core modules for LangChai… · arterm-sedov/cmw-platform-agent@3552ac1</t>
  </si>
  <si>
    <t>Update dependencies and fix LangChain imports</t>
  </si>
  <si>
    <t>https://github.com/amitabhmanu/agentis/commit/5943fdc82b7d04eac1687acbdd78fe6acbc420be</t>
  </si>
  <si>
    <t>Migrate from legacy Langchain to LangGraph. · GuangfengHe/calendar-agent-be@05f5afe</t>
  </si>
  <si>
    <t>Migrate from legacy Langchain to LangGraph.
This seems improved the memory and hallucination issues.</t>
  </si>
  <si>
    <t>feat(memory): integrate LangChain context memory for multi-turn understanding</t>
  </si>
  <si>
    <t>https://github.com/Athallah17/StockChatbot/commit/3c8e70e26e4f7a3699d95fc8db1bbfb6fa18cb2f</t>
  </si>
  <si>
    <t>refactor graph with langgraph · fenrick/agentic-demo@b0f5724</t>
  </si>
  <si>
    <t>refactor graph with langgraph</t>
  </si>
  <si>
    <t>Merge pull request #4 from fvanevski/langgraph_refactor · fvanevski/knowledge_agent@ef77bb2</t>
  </si>
  <si>
    <t>Langgraph refactor</t>
  </si>
  <si>
    <t>LangGraph: Self-consistency implemention to improve model accurancy a… · syada13/hands-on-building-llm-powered-applications@dfea5f5</t>
  </si>
  <si>
    <t>LangGraph: Self-consistency implemention to improve model accurancy and performance</t>
  </si>
  <si>
    <t>Description/Commit Message</t>
  </si>
  <si>
    <t>Refactored backend from langchain to lang graph for better performance and token usage, added implementation plan tab in the frontend, added project creation screen and QA screen</t>
  </si>
  <si>
    <t>Refactored backend from langchain to lang graph for better performanc… · Eden-Cohen1/Projectron@b0c6e9a</t>
  </si>
  <si>
    <t>Integrate native LangGraph for faster and more efficient AI processing Replaces external LangGraph service calls with direct native LangGraph integration to improve performance and reduce network overhead.</t>
  </si>
  <si>
    <t>Integrate native LangGraph for faster and more efficient AI processing · Mohamed-B-ak/Siyadah-Call-Center-AI-maatmd-fryq@57f9fd5</t>
  </si>
  <si>
    <t>Switch to asynchronous graph invocation · lothronx/cm3070-lawtime@c72917f</t>
  </si>
  <si>
    <t>This prevents blocking the event loop during agent execution, improving overall server performance and responsiveness.</t>
  </si>
  <si>
    <t>feat(swarm): implement LangGraph migration with agent pooling and con… · RyanLisse/solomon-codes@262c51c</t>
  </si>
  <si>
    <t>Enhanced SwarmCoordinator with thread-safe agent spawning, agent pool integration, and consensus result caching with TTL</t>
  </si>
  <si>
    <t>feat: Refactor LangGraph agent architecture and enhance coordination … · bossjones/boss-bot@f4877dc</t>
  </si>
  <si>
    <t>feat: Refactor LangGraph agent architecture and enhance coordination patterns</t>
  </si>
  <si>
    <t>feat(langgraph): complete Phase 1 - eliminate dual memory system · Hive-Academy/nestjs-ai-saas-starter@9623904</t>
  </si>
  <si>
    <t>eliminate dual memory system</t>
  </si>
  <si>
    <t>Refactor AsyncErrorDetector and LangChain/LangGraph interceptors for … · NirelNemirovsky/aigie-io@ecfb314</t>
  </si>
  <si>
    <t>Introduce AsyncExecutionMonitor for asynchronous context management, enhancing performance tracking and error detection. Update example scripts to reflect changes in model initialization and checkpointing, ensuring compatibility with new dependencies and features.</t>
  </si>
  <si>
    <t>langchain[minor]: Add native async implementation to LLMFilter, add c… · langchain-ai/langchain@9725e10</t>
  </si>
  <si>
    <t>Add native async implementation to LLMFilter, add concurrency to both sync and async paths</t>
  </si>
  <si>
    <t>Investigate parallel tool processing with LangChain/LangGraph by harshith1204 · Pull Request #121 · harshith1204/pms-assistant</t>
  </si>
  <si>
    <t>All of the langgraph logic works. Making SWIFT performance better via… · Ege-Cakar/Automated-Risk-Assessment@4df8c94</t>
  </si>
  <si>
    <t>All of the langgraph logic works. Making SWIFT performance better via adding a shared whiteboard and will be adding walls to stop from moving onto the next step of SWIFT before the step they're on is fulfilled in a satisfactory manner</t>
  </si>
  <si>
    <t>feat: Major LangGraph optimization with performance, scalability, and… · J-mazz/sys-scan-graph@b9a4506</t>
  </si>
  <si>
    <t>Major LangGraph optimization with performance, scalability, and reliability enhancements</t>
  </si>
  <si>
    <t>Implement Phase 1: Resource Consolidation for 25-50% performance impr… · paxtonedgar/utilities_assist@9d2428f</t>
  </si>
  <si>
    <t>Resource Consolidation for 25-50% performance improvement Following LangGraph patterns for optimal resource management and lifespan events, this implements shared resource initialization to eliminate major performance overhead:</t>
  </si>
  <si>
    <t>Update langgraph agent and tools for improved logic · MaazKhan3/ExpenseBot_POC@e3789a4</t>
  </si>
  <si>
    <t>Update langgraph agent and tools for improved logic</t>
  </si>
  <si>
    <t>Enhance Aigie LangGraph demo with real-time monitoring and error detection features. Updated example to showcase actual interception, performance metrics, and state tracking during LangGraph operations.</t>
  </si>
  <si>
    <t>Enhance Aigie LangGraph demo with real-time monitoring and error dete… · NirelNemirovsky/aigie-io@04da5c0</t>
  </si>
  <si>
    <t>feat: Optimize ReAct workflow API calls and add Mac M4 Apple Silicon support</t>
  </si>
  <si>
    <t>feat: Optimize ReAct workflow API calls and add Mac M4 Apple Silicon … · chintamanil/cybershield@0760805</t>
  </si>
  <si>
    <t>Support nested sub agents (#262) · JoshuaC215/agent-service-toolkit@3b6f962</t>
  </si>
  <si>
    <t>Support nested sub agents</t>
  </si>
  <si>
    <t>feat: Transform HACS developer agent into production-ready deep admin… · solanovisitor/hacs-ai@c8b96a2</t>
  </si>
  <si>
    <t>Transform HACS developer agent into production-ready deep admin agent</t>
  </si>
  <si>
    <t>Categorized Refactoring 1</t>
  </si>
  <si>
    <t>Categorized Refactoring 2</t>
  </si>
  <si>
    <t>Categorized Refactoring 3</t>
  </si>
  <si>
    <t>Altered State Schema (Messages)</t>
  </si>
  <si>
    <t>Normalize Tool I/O</t>
  </si>
  <si>
    <t>Categorized Refactoring 4</t>
  </si>
  <si>
    <t>feat: migrate to LangGraph message-based memory · parth1609/RAGveda@a11d839</t>
  </si>
  <si>
    <t>migrate to LangGraph message-based memory</t>
  </si>
  <si>
    <t>Altered State Schema (messages)</t>
  </si>
  <si>
    <t>Implement message synchronization to LangGraph checkpointer in agent … · guinacio/langchain-mcp-client@ba12613</t>
  </si>
  <si>
    <t>Implement message synchronization to LangGraph checkpointer in agent manager.</t>
  </si>
  <si>
    <t>Persistent Memory</t>
  </si>
  <si>
    <t>Optimize LangGraph workflow with parallel LLM calls and streaming res… · Dtano17/pathwise_app@7e46700</t>
  </si>
  <si>
    <t>Optimize LangGraph workflow with parallel LLM calls and streaming responses</t>
  </si>
  <si>
    <t>refactor: Remove ~600 lines of unused code from LangGraph agent · BomfimThiago/ZendeskiAgentAutomation@fd6dffa</t>
  </si>
  <si>
    <t>Major cleanup removing dead code, unused files, and unused configuration across the entire AI module.</t>
  </si>
  <si>
    <t>Minimized State Schema</t>
  </si>
  <si>
    <t>SHA</t>
  </si>
  <si>
    <t>36c67ca7c42e9ff3153fd6d8a9957f97a55dbf1e</t>
  </si>
  <si>
    <t>c24b8d2c2fc40913415a7883c87a5c8185a17a37</t>
  </si>
  <si>
    <t>046e2e9a156798be98b05d351defefdf3df07928</t>
  </si>
  <si>
    <t>ab5d0bcafc3930fb82ade557ed6e4b229414280d</t>
  </si>
  <si>
    <t>0a0f693ab93188fab7992f336983e26ce58a696c</t>
  </si>
  <si>
    <t>1d2e9fe06b9a3d997f740104272bf77c109776a1</t>
  </si>
  <si>
    <t>ce68096815a8a0aaf164ebb6e2393c992910c520</t>
  </si>
  <si>
    <t>dee52b14e5121c8e746e7a509cf65f8dd5c176f9</t>
  </si>
  <si>
    <t>e50b85ed673a2612bbec84ba3f211d6ab80f6dd6</t>
  </si>
  <si>
    <t>8b79681d58b9a5553668b581332a3a17d5213676</t>
  </si>
  <si>
    <t>6779ffda3a8a21dec8afb5b57bfee345a8a19798</t>
  </si>
  <si>
    <t>3552ac1d79779863375d794a7426e9c707fec6b3</t>
  </si>
  <si>
    <t>5943fdc82b7d04eac1687acbdd78fe6acbc420be</t>
  </si>
  <si>
    <t>05f5afef97aa9c38aa2f42c7b518df3874ad7898</t>
  </si>
  <si>
    <t>3c8e70e26e4f7a3699d95fc8db1bbfb6fa18cb2f</t>
  </si>
  <si>
    <t>b0f5724e233dc25f48d10cd4e2db9a498a60d3eb</t>
  </si>
  <si>
    <t>ef77bb2ccb38eee7f8a5e2374edb418adac4473b</t>
  </si>
  <si>
    <t>dfea5f54d75ccb3a95dee12f5d8c4979ee30a612</t>
  </si>
  <si>
    <t>b0c6e9a966b61ae3f72057f07e3c20c6cc0d8ebe</t>
  </si>
  <si>
    <t>57f9fd5529a48d9d4a79ece65d082c0d0e87d192</t>
  </si>
  <si>
    <t>c72917ff1975277c7462ab0babc37b69d0a49fba</t>
  </si>
  <si>
    <t>262c51c5f63369ace7e4c94874a4a4a21d84e75b</t>
  </si>
  <si>
    <t>f4877dc71af4bc6a2405aaf844c535cec788dde3</t>
  </si>
  <si>
    <t>9623904a39d7ed182c77251839b857c3fcb3ee36</t>
  </si>
  <si>
    <t>ecfb314b546018e0e745344ce391a89c5d78774a</t>
  </si>
  <si>
    <t>9725e1046a2295153287806807e01fe9ed611043</t>
  </si>
  <si>
    <t>480954043d339645631848d17f3ecc4fbaf4156e</t>
  </si>
  <si>
    <t>4df8c94080c2a208c642957a7bb0c5420ef5cb91</t>
  </si>
  <si>
    <t>b9a4506472e8dd660ce3d5d2e2b4f2d076a4d16f</t>
  </si>
  <si>
    <t>9d2428f0c37e25b043a43afd46ea3ea2d4789dc7</t>
  </si>
  <si>
    <t>e3789a4beea75045002ed2d6daf0fd75c8c9bc4d</t>
  </si>
  <si>
    <t>04da5c04b2a186867f244859a8172e728d7d082d</t>
  </si>
  <si>
    <t>07608050ca98ff61c92beec7c15b9a666d735139</t>
  </si>
  <si>
    <t>3b6f9626e9fe5d060e4f8bfb5a312c0d495c481f</t>
  </si>
  <si>
    <t>c8b96a231470d0a490371be61fcd7600248e2afd</t>
  </si>
  <si>
    <t>a11d83969234368fd6c7a4a3118a23177b5e7ec8</t>
  </si>
  <si>
    <t>ba12613265b7a9918d34fb92ddb9ac731a66a433</t>
  </si>
  <si>
    <t>7e4670094d0cd943e5eac928352881126862a350</t>
  </si>
  <si>
    <t>fd6dffa35aa62265b2505e3a4e4b4f130f87ed4b</t>
  </si>
  <si>
    <t>feat: enable haiku model by default and update model name · idvorkin/nlp@dc50ee7</t>
  </si>
  <si>
    <t>dc50ee7a8c21ca32979815dc4349ab9cd8527096</t>
  </si>
  <si>
    <t>Model Switching</t>
  </si>
  <si>
    <t>fix: synchronize release metadata and resolve critical implementation… · vishnu2kmohan/mcp-server-langgraph@e356db4</t>
  </si>
  <si>
    <t>e356db4a07d03bdc47ce3adbadd1ee98b9ec609d</t>
  </si>
  <si>
    <t>fallback kwargs</t>
  </si>
  <si>
    <t>c373419d444a224aaf561b032ba5446e00138286</t>
  </si>
  <si>
    <t>llm refactor · JaymieX/JAA@c373419</t>
  </si>
  <si>
    <t>Altered to leverage State for conversational memory and checkpointer for memory persistence</t>
  </si>
  <si>
    <t>feat(ai-service): Integrate dynamic OBC content fetching into tools · ykinger/Buildsure-be@f56c846</t>
  </si>
  <si>
    <t>f56c8469da9e8a2238c2c19eebf22daedfd68e59</t>
  </si>
  <si>
    <t>ChatPromptTemplate</t>
  </si>
  <si>
    <t>Use of ChatPromptTemplate for improved prompt engineering; persistent memory</t>
  </si>
  <si>
    <t>feat: implement LangchainPromptRunner for unified LLM operations · aruizca/aruizca-resume@8108951</t>
  </si>
  <si>
    <t>8108951369a79d1ed04b08998697c87d5a6e3f9d</t>
  </si>
  <si>
    <t>Caching</t>
  </si>
  <si>
    <t>PromptRunner Abstraction</t>
  </si>
  <si>
    <t>LangchainPromptRunner class for consistent caching, error-handling, etc.</t>
  </si>
  <si>
    <t>818d728d22511603d5815d473fe178d652a3ab79</t>
  </si>
  <si>
    <t>fix: enable real-time SSE streaming for supervisor + sub-agents · RunLittleTurtle/agent_inbox@818d728</t>
  </si>
  <si>
    <t>Message Handling</t>
  </si>
  <si>
    <t>Refactor: Split LangChain service into smaller files This commit refactors the LangChain service code into smaller, more manageable files.</t>
  </si>
  <si>
    <t>refactor: introduce template-based dynamic planning and execution logic · TencentBlueKing/bk-lite@a116793</t>
  </si>
  <si>
    <t>a116793c2e22d3f93d7550ebf22ec2c46a3ccbc8</t>
  </si>
  <si>
    <t>Implement Conversation Retrieval, Fix LiteLLM Fallback kwargs</t>
  </si>
  <si>
    <t>Migrate from chain to runnable sequence</t>
  </si>
  <si>
    <t>Leverage BaseRetriever objects</t>
  </si>
  <si>
    <t>max_iterations</t>
  </si>
  <si>
    <t>Altered agent architecture**</t>
  </si>
  <si>
    <t>init_chat_model wrapper</t>
  </si>
  <si>
    <t>Selective memory usage</t>
  </si>
  <si>
    <t>Tech Debt</t>
  </si>
  <si>
    <t>Maintainability</t>
  </si>
  <si>
    <t>Performance/Cost</t>
  </si>
  <si>
    <t>Tool caching</t>
  </si>
  <si>
    <t>Reliability</t>
  </si>
  <si>
    <t>Add Conversational Memory</t>
  </si>
  <si>
    <t>Sub-Agents</t>
  </si>
  <si>
    <t>Node naming conventions</t>
  </si>
  <si>
    <t>Expanded State</t>
  </si>
  <si>
    <t>Self consistency</t>
  </si>
  <si>
    <t>Migrate from langchain to langgraph</t>
  </si>
  <si>
    <t>Native langgraph on client-side</t>
  </si>
  <si>
    <t>Asynchronous invocation</t>
  </si>
  <si>
    <t>Performance</t>
  </si>
  <si>
    <t>Response Caching</t>
  </si>
  <si>
    <t>Tool decorator</t>
  </si>
  <si>
    <t>Sub-Agents &amp; Expanded State</t>
  </si>
  <si>
    <t>Maintainability/Reliability</t>
  </si>
  <si>
    <t>Error Handling &amp; Monitoring System</t>
  </si>
  <si>
    <t>Observability</t>
  </si>
  <si>
    <t>Parallel tool execution</t>
  </si>
  <si>
    <t>Recursion limit</t>
  </si>
  <si>
    <t>Shared Whiteboard</t>
  </si>
  <si>
    <t>Reliability/Maintainability</t>
  </si>
  <si>
    <t>Maintainability/Performance</t>
  </si>
  <si>
    <t>Expand Agent State</t>
  </si>
  <si>
    <t>Limit Tool Call Iterations</t>
  </si>
  <si>
    <t>Parallel Graph Execution</t>
  </si>
  <si>
    <t>Fix LangGraph concurrent state update error · Ziyan0219/data-cleaning-agent@ad59db5</t>
  </si>
  <si>
    <t>ad59db504daa798862aeafb880b9f357691b1812</t>
  </si>
  <si>
    <t>Use Annotated types for concurrent message updates</t>
  </si>
  <si>
    <t>Limit node returns</t>
  </si>
  <si>
    <t>https://github.com/ZeroBranding/GCZ-MAIN/commit/6a388889593299adbe5e845fb7db5dc718548efa</t>
  </si>
  <si>
    <t>6a388889593299adbe5e845fb7db5dc718548efa</t>
  </si>
  <si>
    <t>14a6100a1b7eaa168c0e04ec15e7ccee75e40b2f</t>
  </si>
  <si>
    <t>feat: Add deep research agent with markdown rendering and CORS support · Yousif-Abuzeid/Deep-Query@14a6100</t>
  </si>
  <si>
    <t>"Add researcher sub-agents for web research" / "Fix iteration control logic to enforce max iterations"</t>
  </si>
  <si>
    <t>Refactor agent workflow and enhance toolset · Yoni-Raich/Article_Chat_Assignmentm@b9f994f</t>
  </si>
  <si>
    <t>b9f994f27f818cd86f575f4bc5f71bb81a251c68</t>
  </si>
  <si>
    <t>"Refactored the agent to use LangGraph's message-based state" / "introduced specialized sub-agents for single, multi, and all-article queries"</t>
  </si>
  <si>
    <t>StructuredTool Wrapper</t>
  </si>
  <si>
    <t>Injected Configuration</t>
  </si>
  <si>
    <t>Integrated deepagents framework with planning tools, file system, and specialized sub-agents</t>
  </si>
  <si>
    <t>Tool refactor</t>
  </si>
  <si>
    <t>6a5955e196dc37777c5335d2639406eeb35a7b84</t>
  </si>
  <si>
    <t>feat: Complete memory system MVP (US1-US4) · RonnyRoos/cerebrobot@6a5955e</t>
  </si>
  <si>
    <t xml:space="preserve">Memory system with pgvector embeddings, semantic search, LLM-driven updates, and strict namespace isolation. </t>
  </si>
  <si>
    <t>Replace custom MemoryManager with LangGraph's MessagesState</t>
  </si>
  <si>
    <t>A complete Python application structure within the `agentic_router/` directory, including a `StateGraph` in `graph.py` and modular nodes for each processing step (`classify`, `discover`, `forward`, `format`).</t>
  </si>
  <si>
    <t>7c38fdd159b1600511ea90891b1b10a3dda0a724</t>
  </si>
  <si>
    <t>feat: Implement full agentic_router LangGraph application · mirjebreili/Agentic-Router@7c38fdd</t>
  </si>
  <si>
    <t>REVISIT THIS PROBABLY A FEATURE</t>
  </si>
  <si>
    <t>feat: implement DB Agent routing in LangGraph workflow · liam-hq/liam@695e79f</t>
  </si>
  <si>
    <t>695e79f3eb8f74c8082cfd7c5710802733cdb251</t>
  </si>
  <si>
    <t>Priority routing</t>
  </si>
  <si>
    <t>implement DB Agent routing in LangGraph workflow</t>
  </si>
  <si>
    <t>cf13775204511b3ff19ad81aa1a500c8deb23f55</t>
  </si>
  <si>
    <t>Tutorial 3 (#16) · launchdarkly-labs/devrel-agents-tutorial@cf13775</t>
  </si>
  <si>
    <t>7743f0c41f18199a091625ec45905fed714d1e42</t>
  </si>
  <si>
    <t>♻️ refactor(tdr-bot): Implement LLM orchestration service with media … · codemonkey800/lilnas@7743f0c</t>
  </si>
  <si>
    <t>"Refactor chat.service.ts to use centralized typing constants - Refactor llm.service.ts to use temperature and search result constants - Refactor state.service.ts to use default values and simplified timeouts"</t>
  </si>
  <si>
    <t>Set temperature</t>
  </si>
  <si>
    <t>Type safety</t>
  </si>
  <si>
    <t>feat: Comprehensive OpenTelemetry Observability Stack · cds-9-group-6/sasya-arogya-engine@5f96b3c</t>
  </si>
  <si>
    <t>5f96b3c650aab2964b6bfca01c22330183aef9a6</t>
  </si>
  <si>
    <t>Node execution timing and success rates by type - Individual tool usage tracking with duration metrics - Workflow state transitions and progression analysis</t>
  </si>
  <si>
    <t>Tool tracking</t>
  </si>
  <si>
    <t>Migrating from legacy ReAct agent to LangGraph · epklein/ai-agents@bd1eadd</t>
  </si>
  <si>
    <t>Migrating from legacy ReAct agent to LangGraph</t>
  </si>
  <si>
    <t>bd1eaddcb610d3a53a1128d1c3dbedfcc8106220</t>
  </si>
  <si>
    <t>migrate from react to tool calling agent</t>
  </si>
  <si>
    <t>Consolidate: Hide GPT endpoints and fix timeslot tests (#72) · itzbhushan/ez-scheduler@df613f3</t>
  </si>
  <si>
    <t>df613f32ad6c90deb373ca309597a7beeaa16a44</t>
  </si>
  <si>
    <t>Updates ConversationManager to accept Redis client as parameter instead of creating its own instance, following FastAPI dependency injection pattern.</t>
  </si>
  <si>
    <t>Refactor memory storage backend and integrate langchain-core · Neuroca-Inc/Neuroca@d564905</t>
  </si>
  <si>
    <t>d564905c3e8708de390d6307280b4049b6a04fe2</t>
  </si>
  <si>
    <t xml:space="preserve">Modified langchain integration to utilize langchain-core modules for chains, embeddings, and memory. </t>
  </si>
  <si>
    <t>Refactor attention overlay system for better performance and maintainability</t>
  </si>
  <si>
    <t>Refactor attention overlay system for better performance and maintain… · cds-9-group-6/sasya-chikitsa@7600564</t>
  </si>
  <si>
    <t>7600564b2048f95d4e1e7e22ad67a0417cade07d</t>
  </si>
  <si>
    <t>Performance/Maintainability</t>
  </si>
  <si>
    <t>feat: ✨ Integrate Stateful AI Assistant with RAG and Sidepanel UI (#36) · DevDeividMoura/omni-max@86c3564</t>
  </si>
  <si>
    <t>86c356436e6468ffd7ae102120a9b2b876ebc577</t>
  </si>
  <si>
    <t>This overhaul enables multi-turn conversations with persistent memory and a clear, maintainable agent workflow.</t>
  </si>
  <si>
    <t>refactor: Create reusable HITL node utilities for natural language in… · rudihinds/langgraph-agent@5a2d429</t>
  </si>
  <si>
    <t>5a2d42957ac7f69d98642e7e858373c9e584d260</t>
  </si>
  <si>
    <t>refactor: Create reusable HITL node utilities for natural language interactions</t>
  </si>
  <si>
    <t>Graph restructure</t>
  </si>
  <si>
    <t>Temperature/Top_p</t>
  </si>
  <si>
    <t>Model Change</t>
  </si>
  <si>
    <t>Implementación de Hyper-Enrichment v2, Optimización de RAG y Sistema … · aandmaldonado/ai-resume-agent@0ad71e1</t>
  </si>
  <si>
    <t>0ad71e1993b2e1361290dc93d5d04a11b66c8bdf</t>
  </si>
  <si>
    <t>max_tokens</t>
  </si>
  <si>
    <t>Reduce max_tokens from 1024 to 512, Configure ChatGroq with top_p parameter to reduce creativity</t>
  </si>
  <si>
    <t xml:space="preserve">Previously, OpenAI was the hardcoded default LLM across multiple modules when no specific model was selected, leading to inconsistent model usage and potential over-reliance on a single provider. </t>
  </si>
  <si>
    <t>refactor(llm): switch default model from OpenAI to Claude · idvorkin/nlp@f53d33f</t>
  </si>
  <si>
    <t>f53d33f64477f4393f87af4d9af6e3f482df9555</t>
  </si>
  <si>
    <t>447a09ce9a9e4c98ea60d0eb051e01a3cf973bab</t>
  </si>
  <si>
    <t>refactor: migrate prompt management to LangChain ChatPromptTemplate · ckrough/file-classifier@447a09c</t>
  </si>
  <si>
    <t>refactor: migrate prompt management to LangChain ChatPromptTemplate</t>
  </si>
  <si>
    <t xml:space="preserve">Added Analytics Assistant with multi-provider AI support (OpenAI, Gemini, Anthropic) </t>
  </si>
  <si>
    <t>963722943a6f7d09976f7005a76db616e8462fcf</t>
  </si>
  <si>
    <t>feat: Complete application refactor with JWT auth and professional ch… · Lokesh-Tallapaneni/Amazon-Affliate-Dashboard@9637229</t>
  </si>
  <si>
    <t>468f8dd6e129faa25a3616d799a2659c4e20d243</t>
  </si>
  <si>
    <t>feat: add thread-based messaging with notifications · RazumRu/ai-company@468f8dd</t>
  </si>
  <si>
    <t>Refactors agent communication tool to use consistent hierarchical thread IDs enabling multi-agent conversations. Upgrades dependencies and adds Redis-backed notification queuing for scalability and reliability.</t>
  </si>
  <si>
    <t>invoke to Stream</t>
  </si>
  <si>
    <t>Scalability/Relliability</t>
  </si>
  <si>
    <t>[Fix] Migrate token usage to response_metadata and add stream retry (… · ChatLunaLab/chatluna@9f73325</t>
  </si>
  <si>
    <t>9f7332529850cceb0b1ab8138540796c6a47890e</t>
  </si>
  <si>
    <t>Max_retries</t>
  </si>
  <si>
    <t>Migrate token usage from generationInfo to AIMessageChunk.response_metadata across all adapters - Add automatic retry mechanism for streaming requests with configurable maxRetries</t>
  </si>
  <si>
    <t>refactor(changes): disable google models by default to prevent resource contention</t>
  </si>
  <si>
    <t>ed783b2aebf9bdad2de7fedcec3a9ba9e723e7f8</t>
  </si>
  <si>
    <t>fix: disable google models by default to prevent gRPC deadlocks and h… · idvorkin/nlp@ed783b2</t>
  </si>
  <si>
    <t>rc-v2.1.0 (#498) · tenstorrent/tt-studio@9d35059</t>
  </si>
  <si>
    <t>9d350593699204f3f90dfc10ba10156fa845ab47</t>
  </si>
  <si>
    <t>75770fed7fdfa9b1f37b0668a2225378c48775af</t>
  </si>
  <si>
    <t>refactor: enhance LangGraph message processing and architecture · lc708/YADRA-YetAnotherDeepResearchAgent@75770fe</t>
  </si>
  <si>
    <t>refactor: enhance LangGraph message processing and architecture</t>
  </si>
  <si>
    <t>Asynchronous graph management</t>
  </si>
  <si>
    <t>Updated LangGraphToolAdapter to use StructuredTool for better compatibility.</t>
  </si>
  <si>
    <t>Feat/byoa (#2523) · crewAIInc/crewAI@870dffb</t>
  </si>
  <si>
    <t>870dffbb894925deb75dd1a0361b1647a1397eec</t>
  </si>
  <si>
    <t>25d916b0f6920e360f0b7bbcc4c03a13d767596f</t>
  </si>
  <si>
    <t>Phase 4: Refactor WebSocket handler to use LangGraph streaming · pablo-lozano-martin/genesis@25d916b</t>
  </si>
  <si>
    <t>feat: Refactor create_analysis_plan_node with Gemini Function-calling · canoekuro/analytics_ai@8e53e7f</t>
  </si>
  <si>
    <t>8e53e7f5ef5ac140549db4b40eb2e299ddaad4a1</t>
  </si>
  <si>
    <t>964c7e8454286335568f44ce112c7dacfb4aa8f1</t>
  </si>
  <si>
    <t>feat: Refactor LangGraph chat workflow and Vite configuration · takuto-NA/YouAlwaysWereJS@964c7e8</t>
  </si>
  <si>
    <t>Migrated chat handling from direct LangChain invocations to a StateGraph-based workflow for improved structure and error handling.</t>
  </si>
  <si>
    <t>LangChain to LangGraph</t>
  </si>
  <si>
    <t>feat(workflow): implement workflow generation and fix E2E CI tests (#… · Kewton/MySwiftAgent@c921b8b</t>
  </si>
  <si>
    <t>Phase 3: Extract orchestration infrastructure from brain.py (#121) · unfoldingWord/bt-servant-engine@fc95ea8</t>
  </si>
  <si>
    <t>fc95ea86ec986426c442ea21a6c594a7b5954b14</t>
  </si>
  <si>
    <t>Extracts individual files from monolith to make code base modularized</t>
  </si>
  <si>
    <t>Modularization of graph functionality</t>
  </si>
  <si>
    <t>c921b8b79d7470039eb416224af7adb9f8e667e3</t>
  </si>
  <si>
    <t>1f1028ef7a691b5fbd87cac72e2704069409a88c</t>
  </si>
  <si>
    <t>refactor: TypedDict状態クラスをPydantic BaseModelに変換 (#4) · spin-glass/papers-rag-agent@1f1028e</t>
  </si>
  <si>
    <t>refactor: convert TypedDict state classes to Pydantic BaseModel</t>
  </si>
  <si>
    <t>Migrate State from TypedDict to Pydantic</t>
  </si>
  <si>
    <t>231d4f2d2c062c04a233a788fd99f487ba4866bf</t>
  </si>
  <si>
    <t>feature/agentic strength (#87) · unfoldingWord/bt-servant-engine@231d4f2</t>
  </si>
  <si>
    <t>Add agentic strength tuning and intent</t>
  </si>
  <si>
    <t>Single responsibility nodes</t>
  </si>
  <si>
    <t>Cost/Latency</t>
  </si>
  <si>
    <t>refactor(agent): integrate LangGraph SDK ReAct agent (v3) with flexib… · HuskyDanny/FinancialAgent@416b36e</t>
  </si>
  <si>
    <t>416b36ea1d3d1a5cadc704834a1f0c319a16f159</t>
  </si>
  <si>
    <t>713bd5e1490355030336ee02242a9e7b2021e37f</t>
  </si>
  <si>
    <t>🔧 MAJOR: Refactor LangChain implementation to use proper patterns · simonaszilinskas/lizdeika@713bd5e</t>
  </si>
  <si>
    <t>Refactor LangChain implementation to use proper patterns</t>
  </si>
  <si>
    <t>25bdd82f1ee6faeef3089793fd68a13fd8f2410a</t>
  </si>
  <si>
    <t>[Security Solution][AI Assistant] Refactor DefaultAssistantGraph Stat… · elastic/kibana@25bdd82</t>
  </si>
  <si>
    <t>Refactor DefaultAssistantGraph State and use preBuilt ToolNode</t>
  </si>
  <si>
    <t>Altered State Schema</t>
  </si>
  <si>
    <t>Tool Node</t>
  </si>
  <si>
    <t>3e924091a8e3713a712fb8bcc187696d02c5b3fb</t>
  </si>
  <si>
    <t>refactor(api): Otimiza inicialização do agente e corrige ciclo de vid… · arthurmorais12/ecommerce-chat@3e92409</t>
  </si>
  <si>
    <t>This commit significantly refactors the architecture of the conversational agent’s initialization and execution to improve performance, stability, and compliance with FastAPI best practices.</t>
  </si>
  <si>
    <t>Persistent Agent Initialization</t>
  </si>
  <si>
    <t>refactor: enhance message processing and clean up deprecated fields · lc708/YADRA-YetAnotherDeepResearchAgent@89262f6</t>
  </si>
  <si>
    <t>89262f6a4d5de552233a6f2617b9324ebf864446</t>
  </si>
  <si>
    <t>These changes aim to refine the message processing system and enhance the clarity and performance of the application.</t>
  </si>
  <si>
    <t>refactor: update message handling to utilize LangGraph native fields</t>
  </si>
  <si>
    <t>a9a2413836038678895ea722415348a6322cc5f1</t>
  </si>
  <si>
    <t>refactor: update message handling to utilize LangGraph native fields · lc708/YADRA-YetAnotherDeepResearchAgent@a9a2413</t>
  </si>
  <si>
    <t>89fb2de9b05a5331d1b7940bae593c657dd05fc9</t>
  </si>
  <si>
    <t>refactor: complete LangGraph message types overhaul · lc708/YADRA-YetAnotherDeepResearchAgent@89fb2de</t>
  </si>
  <si>
    <t>refactor: complete LangGraph message types overhaul</t>
  </si>
  <si>
    <t>c432322786fa577c27bb5c84d2951ce782c805c3</t>
  </si>
  <si>
    <t>[0.0.11]: Improve workflow (#11) · vimalmenon/ai@c432322</t>
  </si>
  <si>
    <t xml:space="preserve">Refactor WorkflowExecuteManager and ExecuteWorkflowService: update execute_workflow method to accept id parameter and adjust model execution logic </t>
  </si>
  <si>
    <t>Maintainability/Observability</t>
  </si>
  <si>
    <t>14e85ff479751e5c5d58a6dfcdef6d3c79102c23</t>
  </si>
  <si>
    <t>Feature/workflow chatbot (#2) · moikas-code/studio_moikas@14e85ff</t>
  </si>
  <si>
    <t>Improved error handling in the workflow agent by refining execution error messages and ensuring type safety in various function parameters</t>
  </si>
  <si>
    <t>Error Handling</t>
  </si>
  <si>
    <t>These changes collectively improve the structure and performance of the application, ensuring better integration of new features and clearer error handling.</t>
  </si>
  <si>
    <t>cbe1f370adbd46b191523631613b6afd9ff213bb</t>
  </si>
  <si>
    <t>Refactor langgraph configuration and enhance FastAPI server functiona… · Rajathbharadwaj/DocRAG-Backend@cbe1f37</t>
  </si>
  <si>
    <t>9eb09b5b228db748c740c20b656691b156ee3dd4</t>
  </si>
  <si>
    <t>Refactor main.py and agent logic for improved message handling and st… · Alexanderdunlop/MemGPT-Discord@9eb09b5</t>
  </si>
  <si>
    <t>Refactor main.py and agent logic for improved message handling and state management</t>
  </si>
  <si>
    <t>Type Safety</t>
  </si>
  <si>
    <t>f08e870e097d31953a47a4dae476a23f0933c00a</t>
  </si>
  <si>
    <t>feat: Upgrade to Langchain 1.0.0 (#393) · mcp-use/mcp-use@f08e870</t>
  </si>
  <si>
    <t xml:space="preserve">refactor(mcpagent): update agent creation logic and imports </t>
  </si>
  <si>
    <t>Updated `agent_vllm_stream.py` to use `create_agent` instead of `create_tool_calling_agent` and adjusted the agent execution logic to align with LangChain 1.0.0 changes.</t>
  </si>
  <si>
    <t>b1f5b3ed92f37dd13459d2d772f75e11bbcc27c5</t>
  </si>
  <si>
    <t>Refactor agent streaming and feedback loop components · X2bee/PlateeRAG_backend@b1f5b3e</t>
  </si>
  <si>
    <t>Migrate to create_agent</t>
  </si>
  <si>
    <t>8b578a891c953f5e3f442236892244acbd7b59c2</t>
  </si>
  <si>
    <t>https://github.com/ixoworld/ixo-oracles-boilerplate/commit/8b578a891c953f5e3f442236892244acbd7b59c2</t>
  </si>
  <si>
    <t>chore: update langchain dependencies and refactor message handling</t>
  </si>
  <si>
    <t>abort controller for graceful cancellation</t>
  </si>
  <si>
    <t>714b1fbd5f87978808e541592c4f9cfa5bdb7aa4</t>
  </si>
  <si>
    <t>Assistant checkpoint: Refactored LLM service with modern APIs and opt… · Infifrontend/Disruption-Management-AERON@714b1fb</t>
  </si>
  <si>
    <t>Assistant checkpoint: Refactored LLM service with modern APIs and optimized endpoint</t>
  </si>
  <si>
    <t>Migrate to Runnable Sequence</t>
  </si>
  <si>
    <t>Migrate to ChatPromptTemplate</t>
  </si>
  <si>
    <t>🔧 chore(langchain): update dependencies and refactor code structure · tkhwang/tkhwang-pico@dcf89a2</t>
  </si>
  <si>
    <t>dcf89a27e87f648130e66f752a8957591a0a97f2</t>
  </si>
  <si>
    <t>chore(langchain): update dependencies and refactor code structure</t>
  </si>
  <si>
    <t>Task specific temperature</t>
  </si>
  <si>
    <t>Refactor llm_factory.py to use LangChain's init_chat_model for unified provider initialization "Note: This is not exhaustive - LangChain init_chat_model supports many providers."</t>
  </si>
  <si>
    <t>8c4678d1615fbc3c0c3b97129a4789e08180cc2b</t>
  </si>
  <si>
    <t>feat: Implement multi-LLM provider architecture with OpenAI, Anthropi… · mehrdad-abdi/diversifier@8c4678d</t>
  </si>
  <si>
    <t>Compatability/Reliability/Maintainability</t>
  </si>
  <si>
    <t>feat: Refactor conversation memory and clean up codebase · Gael-Android/SSU_RAG@4228e4e</t>
  </si>
  <si>
    <t>4228e4e133cd201ebb2e04d0e40c3bf27b775b4c</t>
  </si>
  <si>
    <t>feat: Refactor conversation memory and clean up codebase</t>
  </si>
  <si>
    <t>RAG Refactor</t>
  </si>
  <si>
    <t>Reliability/Performance</t>
  </si>
  <si>
    <t>Conversational Memory Addition</t>
  </si>
  <si>
    <t>chore(openai): Update default models to gpt-5 and gpt-5-mini · idvorkin/nlp@5b37272</t>
  </si>
  <si>
    <t>5b372723475bffe6b1fc1f1d3aaa35da5fae4191</t>
  </si>
  <si>
    <t xml:space="preserve">This commit replaces all instances of the old model names with the new `gpt-5` series identifiers. </t>
  </si>
  <si>
    <t>Model Update</t>
  </si>
  <si>
    <t>Refactor calendar agent for enhanced performance and clarity</t>
  </si>
  <si>
    <t>e6b1254c77ae286b294415439cf5464c074780d9</t>
  </si>
  <si>
    <t>Refactor calendar agent for enhanced performance and clarity · service-tisac/tisac-assistant-backend@e6b1254</t>
  </si>
  <si>
    <t>Automate syntha framework tool integration (#12)</t>
  </si>
  <si>
    <t>Automate syntha framework tool integration (#12) · Kirch77/syntha@0ed2b23</t>
  </si>
  <si>
    <t>0ed2b237267d24f51a5c3fb108f837a2f7b61cfe</t>
  </si>
  <si>
    <t>Tool Helper Methods</t>
  </si>
  <si>
    <t>63bcdd9e26938ed6aa0c8054ae25afeab8cdc05b</t>
  </si>
  <si>
    <t>Refactor codebase with comprehensive improvements for maintainability… · prxs-ai/praxis-py-sdk@63bcdd9</t>
  </si>
  <si>
    <t>Prompt Builder</t>
  </si>
  <si>
    <t>Executor</t>
  </si>
  <si>
    <t>Code Reuse</t>
  </si>
  <si>
    <t>Refactor codebase with comprehensive improvements for maintainability and robustness</t>
  </si>
  <si>
    <t>refactor(langchain-processor): Apply best practices to RAG pipeline · nguyenhonglich111-1001/Experimental@3e970bf</t>
  </si>
  <si>
    <t>3e970bfea0fb85405b07cd96dfc6e1d1ca862ed2</t>
  </si>
  <si>
    <t>refactor(langchain-processor): Apply best practices to RAG pipeline</t>
  </si>
  <si>
    <t>7aeb687533e53027aa477722d06d337b1a210ac6</t>
  </si>
  <si>
    <t>fix: don't send duplicate messages to Agent (#8909) · langflow-ai/langflow@7aeb687</t>
  </si>
  <si>
    <t>refactor: streamline message extraction in handle_on_chain_start, Implemented LRU caching to optimize performance for repeated image processing</t>
  </si>
  <si>
    <t>Reimplement agent using langgraph (#22)</t>
  </si>
  <si>
    <t>dbfdb82e27608b8ae60520366ba6f00d2ea607a8</t>
  </si>
  <si>
    <t>Reimplement agent using langgraph (#22) · agent-revra/revra@dbfdb82</t>
  </si>
  <si>
    <t>047932232b127bf75e2e4840d7c390816e1d4dd8</t>
  </si>
  <si>
    <t>refactor: update langgraph_streaming to use common code · coziro/ai-agent-demo@0479322</t>
  </si>
  <si>
    <t>refactor: update langgraph_streaming to use common code</t>
  </si>
  <si>
    <t>Reuse code for Synchronous and Streaming versions</t>
  </si>
  <si>
    <t>050d52b3e547ec5812b071887b2547325ee3c5f6</t>
  </si>
  <si>
    <t>feat: integrate DingTalk notifications and fix LangGraph deployment · callzhang/recruiter@050d52b</t>
  </si>
  <si>
    <t>Refactor agent state definitions</t>
  </si>
  <si>
    <t>Tool Refactoring</t>
  </si>
  <si>
    <t>Use explicit ChatState construction for type safety</t>
  </si>
  <si>
    <t>94c4f5af7a4ac082a4edbd9ce566c4efac7f1534</t>
  </si>
  <si>
    <t>Refactor langgraph_sync.py: improve type safety and variable naming · coziro/ai-agent-demo@94c4f5a</t>
  </si>
  <si>
    <t>feat: Refactor core architecture to a modular, graph-based system · moe1047/ai-bestie@e57ce65</t>
  </si>
  <si>
    <t>e57ce65f2ed24ebae134fdd0ee5262e7220ba3f6</t>
  </si>
  <si>
    <t>feat: Refactor core architecture to a modular, graph-based system</t>
  </si>
  <si>
    <t>State Management &amp; Async Updates</t>
  </si>
  <si>
    <t>1ae88f755e6d8550cff98f00c5c8baf48a65ff76</t>
  </si>
  <si>
    <t>Replace anthropic by generic OpenAI (#53) · synergyai-nl/svelte-langgraph@1ae88f7</t>
  </si>
  <si>
    <t>Asynchronous State Updates</t>
  </si>
  <si>
    <t>Refactor chat service to integrate LangGraph checkpointer · gargpriyal/Hackathon2025@af56292</t>
  </si>
  <si>
    <t>af56292ffbf744b67465a5db4469b07c3429290a</t>
  </si>
  <si>
    <t>Refactor chat service to integrate LangGraph checkpointer</t>
  </si>
  <si>
    <t>Sub-agents</t>
  </si>
  <si>
    <t>7b984c2a646dfef18e6fe07e5496f4d1ba847d5c</t>
  </si>
  <si>
    <t>Refactor: GraphState 재설계 - LangGraph 표준 패턴 준수 · HAMA-team/HAMA-backend@7b984c2</t>
  </si>
  <si>
    <t>Refactor: Redesign GraphState — Align with LangGraph Standard Pattern</t>
  </si>
  <si>
    <t>Maintainability/Scalability/Reliability</t>
  </si>
  <si>
    <t>54b0b101f3cf850ac75788998b10b4b856783e36</t>
  </si>
  <si>
    <t>feat: improve LangGraph checkpoint handling and profile editing UI · yeshuman-io/yeshuman-agent-stack@54b0b10</t>
  </si>
  <si>
    <t>feat: improve LangGraph checkpoint handling and profile editing UI</t>
  </si>
  <si>
    <t>01ee02deda6cdb1da733ba44fa038055b835c291</t>
  </si>
  <si>
    <t>Refactor to production-ready architecture with clean separation of co… · kaiser-data/multi-agent-research@01ee02d</t>
  </si>
  <si>
    <t>Refactor to production-ready architecture with clean separation of concerns</t>
  </si>
  <si>
    <t>Reliability/Scalability</t>
  </si>
  <si>
    <t>Type hints for nodes</t>
  </si>
  <si>
    <t>[AI] AG-UI compliant Langgraph ReAct agent implementation (#10612) · opensearch-project/OpenSearch-Dashboards@681c9e6</t>
  </si>
  <si>
    <t>681c9e6f06ad329386e6c654501119fd7278c537</t>
  </si>
  <si>
    <t>feat: Refactor tool result handling to improve message lifecycle management in BaseAGUIAdapter</t>
  </si>
  <si>
    <t>Reliability/Cost</t>
  </si>
  <si>
    <t>https://github.com/oasm-platform/oasm-assistant/commit/1024a413b145183291ce944702b800fea9e241bb</t>
  </si>
  <si>
    <t>1024a413b145183291ce944702b800fea9e241bb</t>
  </si>
  <si>
    <t>Merge pull request #6 from mirjebreili/codex/refactor-project-to-lang… · mirjebreili/Agentic-Router@ab7291c</t>
  </si>
  <si>
    <t>ab7291c0b41aeccc9c23307cb5137d15e7160ba8</t>
  </si>
  <si>
    <t>Maintainability/Scalability</t>
  </si>
  <si>
    <t>Enable conversational message state for LangGraph dev</t>
  </si>
  <si>
    <t>55c162e2d02236f2d6a133c34f4ca3cb4a5d3824</t>
  </si>
  <si>
    <t>refactor: Simplify main agent and chat endpoint · TuberRishi/Kisan_Dost_AI@55c162e</t>
  </si>
  <si>
    <t>refactor: Simplify main agent and chat endpoint</t>
  </si>
  <si>
    <t>Minimized Nodes &amp; Conditional Routing</t>
  </si>
  <si>
    <t>45ce44dbb4c2a8724926a97dbf262110203b8f34</t>
  </si>
  <si>
    <t>refactor(agents): implement base agent architecture with core components · oasm-platform/oasm-assistant@45ce44d</t>
  </si>
  <si>
    <t>refactor(agents): implement base agent architecture with core components</t>
  </si>
  <si>
    <t>Changed System Prompt</t>
  </si>
  <si>
    <t>refactor(agent): Implement robust graph state management · kenomendako/gradiotest@72e0826</t>
  </si>
  <si>
    <t>72e0826d4effe42533f6eb0d0a229d34ef5ec35f</t>
  </si>
  <si>
    <t>refactor(agent): Implement robust graph state management</t>
  </si>
  <si>
    <t>b49fe1ece02ea9d12a3ecb8c1ad251aa0d482501</t>
  </si>
  <si>
    <t>refactor: update Kronos agent integration in ChatService · anadi45/quark-chat@b49fe1e</t>
  </si>
  <si>
    <t>Enhanced the sendMessage method to utilize LangGraph streaming capabilities, allowing for better event handling and response streaming</t>
  </si>
  <si>
    <t>Streaming</t>
  </si>
  <si>
    <t>refactor(project): restructure and enhance LangGraph examples · d-gangz/langgraph-instructor@101f0f1</t>
  </si>
  <si>
    <t>101f0f1ba118a2f390463d439c09d23935afc2bc</t>
  </si>
  <si>
    <t>Add memory support with InMemorySaver checkpointing (3-memory.py)</t>
  </si>
  <si>
    <t>Checkpointer</t>
  </si>
  <si>
    <t>22f295939a2679dd4a184f31617acbc9c59eb865</t>
  </si>
  <si>
    <t>refactor(chatbot): replace manual message conversion with LangChain u… · d-gangz/langgraph-instructor@22f2959</t>
  </si>
  <si>
    <t>refactor(chatbot): replace manual message conversion with LangChain utility</t>
  </si>
  <si>
    <t>Maintainability/Understandability/Reliability?</t>
  </si>
  <si>
    <t>362b4c1fcc3129b7ac0ec6f22f75674f9c5cf6a6</t>
  </si>
  <si>
    <t>Feature/ai chat (#6) · jewells77/EchoBrandAI-Mind-Backup@362b4c1</t>
  </si>
  <si>
    <t>refactor: langgraph nodes &amp; llm output * refactor: combined the final output for start &amp; continue chat * refactor: add only n number of chat messages * refactor: refine the prompts</t>
  </si>
  <si>
    <t>Scalability/Relliability/Cost</t>
  </si>
  <si>
    <t>Refactor Chat and System Message Components for Improved Functionality and Readability</t>
  </si>
  <si>
    <t>217b424555593a052374469699cd35dd382ea1ca</t>
  </si>
  <si>
    <t>Refactor Chat and System Message Components for Improved Functionalit… · Svring/brain@217b424</t>
  </si>
  <si>
    <t>Refactor Langgraph Stream Integration and Cleanup</t>
  </si>
  <si>
    <t>Refactor Langgraph Stream Integration and Cleanup · Svring/brain@ac15889</t>
  </si>
  <si>
    <t>ac158890ff08cf139863941f7e80dfe56d56a680</t>
  </si>
  <si>
    <t>9993ad03ac4a6ef27c87bd2c57e8e6f0c08f7049</t>
  </si>
  <si>
    <t>Refactor agent node to fix AttributeError · TuberRishi/Kisan_Dost_AI@9993ad0</t>
  </si>
  <si>
    <t>Refactor agent node to fix AttributeError</t>
  </si>
  <si>
    <t>Switch to runnable sequence</t>
  </si>
  <si>
    <t>Use .bindtools()</t>
  </si>
  <si>
    <t>8325fc83cb3a232b0258613461cb6461eb67e8ac</t>
  </si>
  <si>
    <t>refactor: 重构对话系统架构，完全移除conversation概念并添加测试 · soontechgroup/ai-agents@8325fc8</t>
  </si>
  <si>
    <t>Updated the checkpointer implementation to support both MongoDB and PostgreSQL</t>
  </si>
  <si>
    <t>399dbb01547de86c1b159c30c2e139093628988f</t>
  </si>
  <si>
    <t>https://github.com/danny-avila/agents/commit/399dbb01547de86c1b159c30c2e139093628988f</t>
  </si>
  <si>
    <t>feat: Multi-Agent Graph with Parallel Execution, Handoffs, Conditional Routing</t>
  </si>
  <si>
    <t>Parallel Node Execution</t>
  </si>
  <si>
    <t>Scalability/Performance/Maintainability</t>
  </si>
  <si>
    <t>d60b4f876bd5e355cddcc389706b680b5042d246</t>
  </si>
  <si>
    <t>Refactor: Implement LangGraph-only state management with modular arch… · baotvdn/chatguard@d60b4f8</t>
  </si>
  <si>
    <t>Refactor: Implement LangGraph-only state management with modular architecture</t>
  </si>
  <si>
    <t>Single Responsiblility Components</t>
  </si>
  <si>
    <t>Scalability/Reliability</t>
  </si>
  <si>
    <t>1bfec3ad0556c3a5f54e1067a11379f5d8ce919c</t>
  </si>
  <si>
    <t>feat: Enhance chat streaming and tool call processing (#498) · Joecsr24/Luna@1bfec3a</t>
  </si>
  <si>
    <t>Added support for MongoDB checkpointer in the chat streaming workflow</t>
  </si>
  <si>
    <t>556ee1c1eb18ee742ec6d4b5b2952058b556697d</t>
  </si>
  <si>
    <t>feat: Refactor dependency management and optimize streaming protocol · lointain/langchain_aisdk_adapter@556ee1c</t>
  </si>
  <si>
    <t>b7bca5a1310bdbfdd98023ad28e98954b063367c</t>
  </si>
  <si>
    <t>Refactor: Improve chat endpoint validation and response handling · Les-Mills-Ai-Agent/RAG-Demon@b7bca5a</t>
  </si>
  <si>
    <t>Refactor: Improve chat endpoint validation and response handling</t>
  </si>
  <si>
    <t>efcab0a6ae2707f8c9ab8b35a3eeddf8ca0e8565</t>
  </si>
  <si>
    <t>Simplify LangGraph pipeline and fix empty response issue · FurkanSahinnn/psychological-agent@efcab0a</t>
  </si>
  <si>
    <t>Simplify LangGraph pipeline and fix empty response issue</t>
  </si>
  <si>
    <t>Streamlined graph</t>
  </si>
  <si>
    <t>c83e2588e088adf5f4803dff9688ef07f5e925f3</t>
  </si>
  <si>
    <t>feat: add Docker deployment and enhance streaming capabilities · kafkaGen/general-assistant@c83e258</t>
  </si>
  <si>
    <t>additional kwargs</t>
  </si>
  <si>
    <t>streaming ?</t>
  </si>
  <si>
    <t>8e3edabb925f892107438516701dd6f0ac1b3def</t>
  </si>
  <si>
    <t>refactor: simplifica classe Agent com context manager do AsyncSqliteS… · arthurmorais12/ecommerce-chat@8e3edab</t>
  </si>
  <si>
    <t>refactor: simplify Agent class using AsyncSqliteSaver context manager</t>
  </si>
  <si>
    <t>Reliability/Scalability/Performance</t>
  </si>
  <si>
    <t>Asynchronous Checkpointer</t>
  </si>
  <si>
    <t>max tokens</t>
  </si>
  <si>
    <t>49777f1f403eb9163338dedd3c44e0fb8d05abe1</t>
  </si>
  <si>
    <t>LangGraph V3 Compliance: Automated Document Processing &amp; Anti-Pattern… · rudihinds/langgraph-agent@49777f1</t>
  </si>
  <si>
    <t>* extend state schema * refactor: replace legacy agents with streamlined RFP analysis collaboration flow</t>
  </si>
  <si>
    <t>Expanded State Schema</t>
  </si>
  <si>
    <t>a10e52d058f3f990c6367244cd88678082992eaa</t>
  </si>
  <si>
    <t>refactor: langchain integration (#14) · RobotecAI/rai@a10e52d</t>
  </si>
  <si>
    <t>* refactor: migrate actions to langchain tools * refactor: multimodal messages</t>
  </si>
  <si>
    <t>d003cce49694ce0140249386db96b655dbe58fa0</t>
  </si>
  <si>
    <t>feat!: migrate to LangChain v1.0 with context-based architecture (#20) · midodimori/langrepl@d003cce</t>
  </si>
  <si>
    <t xml:space="preserve">- Separate concerns between graph state and execution context </t>
  </si>
  <si>
    <t>f2c1dc00d6e4dc629231ce31614103ef261267e1</t>
  </si>
  <si>
    <t>Refactor agent workflows and tools for improved state management, err… · ssdeanx/langgraph-dm@f2c1dc0</t>
  </si>
  <si>
    <t>refactor(langgraph): restructure workflow creation and add message trimming</t>
  </si>
  <si>
    <t>e7cd19cc538f3f5156dd717c457d73df6b6dae67</t>
  </si>
  <si>
    <t>refactor(langgraph): restructure workflow creation and add message tr… · Lostovayne/Agente-de-IA-usando-Next-y-Langchain@e7cd19c</t>
  </si>
  <si>
    <t>Messages Annotation</t>
  </si>
  <si>
    <t>b44b80ae3991ac76872bec46e622c51bb5ab4cea</t>
  </si>
  <si>
    <t>Runnable Sequence</t>
  </si>
  <si>
    <t>https://github.com/luistorres/medabot/commit/b44b80ae3991ac76872bec46e622c51bb5ab4cea</t>
  </si>
  <si>
    <t>Modern LangChain Patterns: - Use RunnableSequence (current best practice) - StringOutputParser for clean text output - Proper chain composition with .from() - Better error handling</t>
  </si>
  <si>
    <t>d132f568cebfc27531bc84fce48bb2f44837b5c6</t>
  </si>
  <si>
    <t>Restructure agent following Anthropic 2025 best practices · currentspace/dj@d132f56</t>
  </si>
  <si>
    <t>System Prompt Change</t>
  </si>
  <si>
    <t>e0e06877ec7998da7db3bbb08719b79f554a52bd</t>
  </si>
  <si>
    <t>Temperature set to 0.0 for maximum determinism and minor latency optimization</t>
  </si>
  <si>
    <t>https://github.com/ssumakant/asf-genesis/commit/e0e06877ec7998da7db3bbb08719b79f554a52bd</t>
  </si>
  <si>
    <t>5fe18b3dedfdf2f99dd31aa42c6ec5918fac9841</t>
  </si>
  <si>
    <t>feat: New calendar page &amp; updated tools (#265) · theexperiencecompany/gaia@5fe18b3</t>
  </si>
  <si>
    <t>Add create_calendar_agent to ProviderSubAgents (uses SubAgentFactory with retrieve_tools_limit=5)</t>
  </si>
  <si>
    <t>Tool Filtering</t>
  </si>
  <si>
    <t>Implement LangChain tool-calling with ReAct pattern for stock analysis · YongzhQi/stock-prediction@2603bf5</t>
  </si>
  <si>
    <t>Refactor Analyzer Agent to use LangChain @tool decorator for on-demand metric calculation</t>
  </si>
  <si>
    <t>2603bf5822ab3df95c9c231c0610b2e805642edb</t>
  </si>
  <si>
    <t>tool decorator</t>
  </si>
  <si>
    <t>18a8a6f141b1eb9d721e76197109d3b3b956ff06</t>
  </si>
  <si>
    <t>https://github.com/luckystarufo/personal_assistants/commit/18a8a6f141b1eb9d721e76197109d3b3b956ff06</t>
  </si>
  <si>
    <t>Refactor EchoForge agent: add echo node, fix message type handling, update schema</t>
  </si>
  <si>
    <t>Route by intent</t>
  </si>
  <si>
    <t>Refactor state management: split `messages` into `progress_messages` … · MehdiZare/seekr-assignment@f0ee5ba</t>
  </si>
  <si>
    <t>f0ee5ba75154ce838124b8e5bfe4f5c8f3bf2f85</t>
  </si>
  <si>
    <t>Refactor state management: split messages into progress_messages for UI tracking and messages for LangGraph communication, transition supervisor tools and LLM calls to async, and truncate tool call IDs for OpenAI compatibility.</t>
  </si>
  <si>
    <t>Asynchronous Invocation</t>
  </si>
  <si>
    <t>truncate tool messages</t>
  </si>
  <si>
    <t>Streamlined Graph</t>
  </si>
  <si>
    <t>Performance/Reliability/Maintainability</t>
  </si>
  <si>
    <t>acfa16eec839c4d1e5f004e356cefc702a5a37ee</t>
  </si>
  <si>
    <t>Refactor to separate `Model` from `Agent`. · JBoggsy/aipa@acfa16e</t>
  </si>
  <si>
    <t>Refactor to separate Model from Agent.</t>
  </si>
  <si>
    <t>Abstract model class to support various providers</t>
  </si>
  <si>
    <t>Maintainability/Compatibility?</t>
  </si>
  <si>
    <t>eb80155e80a00a04e54bfeb19d1c18381c7925de</t>
  </si>
  <si>
    <t>Refactor backend to integrate LangChain messages for chat history man… · NaifMersal/Legal-assistant@eb80155</t>
  </si>
  <si>
    <t>Refactor backend to integrate LangChain messages for chat history management, enhance RAG service with conversation context, and update setup documentation. Remove obsolete setup scripts and tests.</t>
  </si>
  <si>
    <t>Added Conversational Memory</t>
  </si>
  <si>
    <t>refactor: redesign tools_agent subgraph with proper dependency injection · LongStoryMedia/llmmllab@70e006e</t>
  </si>
  <si>
    <t>70e006ef3c47e51254a9f85f00ae806278e5da0d</t>
  </si>
  <si>
    <t>refactor: redesign tools_agent subgraph with proper dependency injection</t>
  </si>
  <si>
    <t>Tool runtime</t>
  </si>
  <si>
    <t>3cbd0d6603d364355c991a956a2f928b63b2b771</t>
  </si>
  <si>
    <t>refactor: Transform monolithic agent into modular architecture · mihiarc/rpa-landuse@3cbd0d6</t>
  </si>
  <si>
    <t>Selective Memory Usage</t>
  </si>
  <si>
    <t>refactor: Transform monolithic agent into modular architecture</t>
  </si>
  <si>
    <t>Scalability/Maintainability</t>
  </si>
  <si>
    <t>d9a6b5d1310be287e98e09d60fd222693383472c</t>
  </si>
  <si>
    <t>refactor: migrate to LangGraph prebuilt components and fix tool calli… · AhmedShetaia/Finincial_ChatBot@d9a6b5d</t>
  </si>
  <si>
    <t>refactor: migrate to LangGraph prebuilt components and fix tool calling flow</t>
  </si>
  <si>
    <t>tool_condition &amp; Tool Node</t>
  </si>
  <si>
    <t>Reliability/Scalability/Maintainability</t>
  </si>
  <si>
    <t>84365f48d52394fe39ed9ad9e8174a26ba1b9a8f</t>
  </si>
  <si>
    <t>refactor(agent): Enhance debuggability, logging, and memory management · shskwmt/hikizan-emacs@84365f4</t>
  </si>
  <si>
    <t xml:space="preserve">This commit introduces significant refactoring to the `EmacsAgent` to improve its robustness, debuggability, and memory efficiency, especially concerning the Gemini API's conversation flow requirements. </t>
  </si>
  <si>
    <t>Reliability/Scalability/Cost</t>
  </si>
  <si>
    <t>Token Tracking</t>
  </si>
  <si>
    <t>180ff70e4612b4998cc08cfd5c671471baec4c1d</t>
  </si>
  <si>
    <t>Refactor run_langchain.py to enhance user interaction and memory mana… · Monthlyaway/AI-Conversation@180ff70</t>
  </si>
  <si>
    <t>Refactor run_langchain.py to enhance user interaction and memory management</t>
  </si>
  <si>
    <t>Chat History</t>
  </si>
  <si>
    <t>Relliability/Observability</t>
  </si>
  <si>
    <t>9b9e854fb4369a73c591bc561c475e33722d2144</t>
  </si>
  <si>
    <t>Update dependencies and enhance memory management features · himudigonda/agentum-framework@9b9e854</t>
  </si>
  <si>
    <t>Update dependencies and enhance memory management features</t>
  </si>
  <si>
    <t>73661de7d12d6d6f0e36588426282661e70b20e9</t>
  </si>
  <si>
    <t>refactor: remove SQLite database and related embedding logic · GuillermoBlanco/ai-knowledge-assistant@73661de</t>
  </si>
  <si>
    <t>refactor: remove SQLite database and related embedding logic</t>
  </si>
  <si>
    <t>ee1eca2a03edfe4033f181fe079bbc54a2505627</t>
  </si>
  <si>
    <t>refactor: implement lazy langchain imports and clarify Python 3.11 re… · m-ross-thornton/resume-narrator@ee1eca2</t>
  </si>
  <si>
    <t>refactor: implement lazy langchain imports and clarify Python 3.11 requirement</t>
  </si>
  <si>
    <t>Lazy LangChain Import</t>
  </si>
  <si>
    <t>de4c24820cd5967f1abff5f4af6dafab0207e618</t>
  </si>
  <si>
    <t>Refactor advanced_langgraph_features.py to implement modern LLM-power… · NirelNemirovsky/aigie-io@de4c248</t>
  </si>
  <si>
    <t>Refactor advanced_langgraph_features.py to implement modern LLM-powered research tools, enhancing state management and feedback processing.</t>
  </si>
  <si>
    <t>Asynchronous Nodes</t>
  </si>
  <si>
    <t>Performance/Scalability/Maintainability</t>
  </si>
  <si>
    <t>3854c2b3408f91e5aebbebd2c1373e4568ef0f4d</t>
  </si>
  <si>
    <t>♻️ Refactor useStream to use LangGraph SDK Message type · hoshinotsuyoshi/study-liam@3854c2b</t>
  </si>
  <si>
    <t>♻️ Refactor useStream to use LangGraph SDK Message type</t>
  </si>
  <si>
    <t>refactor(model): update default Llama model to Llama 4 Scout · idvorkin/nlp@9657b08</t>
  </si>
  <si>
    <t>refactor(model): update default Llama model to Llama 4 Scout</t>
  </si>
  <si>
    <t>9657b08ba96d19996646c00776cf5872040f0bd6</t>
  </si>
  <si>
    <t>e0560f8bc6397084890590771f0aabcc9817fd66</t>
  </si>
  <si>
    <t>feat: Implement lazy agent hydration and thread message caching (#66) · lucelsbyleverageAI/agent-os-starter-kit@e0560f8</t>
  </si>
  <si>
    <t>feat: Implement lazy agent hydration and thread message caching</t>
  </si>
  <si>
    <t>42e22be41d6c3ecbda9a409619c889b5b4bea86c</t>
  </si>
  <si>
    <t>Add LangGraph authentication via metadata and demo improvements (#361) · nexi-lab/nexus@42e22be</t>
  </si>
  <si>
    <t>Add LangGraph authentication via metadata and demo improvements</t>
  </si>
  <si>
    <t>Configuration Injection</t>
  </si>
  <si>
    <t>(RunnableConfig)</t>
  </si>
  <si>
    <t>Maintainability/Reliability?</t>
  </si>
  <si>
    <t>Use HumanMessage objects instead of plain dicts for LangGraph agents</t>
  </si>
  <si>
    <t>cc01e2aed1f1f3f7380eeecd744953e91abd2a11</t>
  </si>
  <si>
    <t>fix: DeepAgents/LangGraph runtime compatibility fixes · Arc-Computer/atlas-sdk@cc01e2a</t>
  </si>
  <si>
    <t>Leverages Thread &amp; State</t>
  </si>
  <si>
    <t>591a28fbbc6790934cf0c05f89fed17467c68206</t>
  </si>
  <si>
    <t>Improve system message handling and conversation history in LangGraph… · WIMUniCologne/agentic_artificial_intelligence@591a28f</t>
  </si>
  <si>
    <t>Improve system message handling and conversation history in LangGraph agents</t>
  </si>
  <si>
    <t>refactor(backend): restructure agent architecture with LangGraph</t>
  </si>
  <si>
    <t>682feaaccedb2d05d09c5cf17d631f10eb0987c5</t>
  </si>
  <si>
    <t>refactor(backend): restructure agent architecture with LangGraph · CaptainCrouton89/Saturn@682feaa</t>
  </si>
  <si>
    <t>40b3147c3225b175dff8d17145a93a059a80dce8</t>
  </si>
  <si>
    <t>Update dependencies in requirements.txt; refactor AgentBase methods f… · AIProjects8/multiagent-telegram@40b3147</t>
  </si>
  <si>
    <t>Update dependencies in requirements.txt; refactor AgentBase methods for improved message handling and language support; replace langchain.schema imports with langchain_core in multiple agents for consistency.</t>
  </si>
  <si>
    <t>Changed Imports</t>
  </si>
  <si>
    <t>Number of Refactorings</t>
  </si>
  <si>
    <t>Number of Tech Debts Addressed</t>
  </si>
  <si>
    <t>Tech debt mean:</t>
  </si>
  <si>
    <t>Refactorings mean:</t>
  </si>
  <si>
    <t>Sub-Agents &amp; Model Switching</t>
  </si>
  <si>
    <t>Naming conventions</t>
  </si>
  <si>
    <t>cb3467c417513d6da61ad54f24b240aed8b417a1</t>
  </si>
  <si>
    <t>feat: Implement HACS Deep Admin Agent with deepagents framework · solanovisitor/hacs-ai@cb3467c</t>
  </si>
  <si>
    <t>5 specialized admin sub-agents for different domains</t>
  </si>
  <si>
    <t>Scalability/Maintainability/Performance</t>
  </si>
  <si>
    <t>Library</t>
  </si>
  <si>
    <t>LangChain</t>
  </si>
  <si>
    <t>LangGraph</t>
  </si>
  <si>
    <t>Both</t>
  </si>
  <si>
    <t>Num LG Projects:</t>
  </si>
  <si>
    <t>Performance Count</t>
  </si>
  <si>
    <t>Cost count</t>
  </si>
  <si>
    <t>Maintainability Count</t>
  </si>
  <si>
    <t>Reliability Count</t>
  </si>
  <si>
    <t>Scalability &amp; Maintainability</t>
  </si>
  <si>
    <t>Reliability &amp; Maintainability</t>
  </si>
  <si>
    <t>Tool Decorator</t>
  </si>
  <si>
    <t>Model Arguments</t>
  </si>
  <si>
    <t>Naming Conventions</t>
  </si>
  <si>
    <t>Context Trimming</t>
  </si>
  <si>
    <t>Improve LangChain data type conversion with additional kwargs support</t>
  </si>
  <si>
    <t>Conversions to LangChain objects</t>
  </si>
  <si>
    <t>Maintainability/Performance/Scalability</t>
  </si>
  <si>
    <t>Split Components into Single-responsibility files</t>
  </si>
  <si>
    <t>Maintainability/Scalability/Performance</t>
  </si>
  <si>
    <t>Reliability/Understandability/Performance</t>
  </si>
  <si>
    <t>Maintainability/Scalability/Understandability/Performance</t>
  </si>
  <si>
    <t>Maintainability/Reliability/Scalability/Performance</t>
  </si>
  <si>
    <t>Maintainability/Understandability/Scalability</t>
  </si>
  <si>
    <t>tool decorator &amp; asynchronous tools &amp; structured tool</t>
  </si>
  <si>
    <t>Compatability/Reliability/Scalability</t>
  </si>
  <si>
    <t>Scalability/Performance/Reliability/Maintainability</t>
  </si>
  <si>
    <t>Cost/Performance</t>
  </si>
  <si>
    <t>Performance/Maintainability/Scalability</t>
  </si>
  <si>
    <t>Reliability/Performance/Scalability/Maintainability</t>
  </si>
  <si>
    <t>Migrate to core modules</t>
  </si>
  <si>
    <t>Streaming?</t>
  </si>
  <si>
    <t>Agent Planning</t>
  </si>
  <si>
    <t>Refactored Nodes - evaluator.py: Use invoke_structured_llm instead of direct LLM calls - interface_definition.py: Use invoke_structured_llm - requirement_analysis.py: Use invoke_structured_llm - validation.py: Use invoke_structured_llm - Simplified agent.py router logic with better logging</t>
  </si>
  <si>
    <t>refactor(agent): integrate LangGraph SDK ReAct agent (v3) with flexible tool routing</t>
  </si>
  <si>
    <t>Maintainability/Reliability/Performance</t>
  </si>
  <si>
    <t xml:space="preserve">Message Handling </t>
  </si>
  <si>
    <t>Message Handling co-occurs:</t>
  </si>
  <si>
    <t>No longer available</t>
  </si>
  <si>
    <t>Maintainability/Performance/Maintianability</t>
  </si>
  <si>
    <t>Changed Sub-agents</t>
  </si>
  <si>
    <t>Improved check_pointer</t>
  </si>
  <si>
    <t>feat: Refactor dependency management and optimize streaming protocol</t>
  </si>
  <si>
    <t>Reliability/Maintainability/Scalability</t>
  </si>
  <si>
    <t>Maintainability/Reliability/Scalability</t>
  </si>
  <si>
    <t>System Prompt Restructure</t>
  </si>
  <si>
    <t>Replace database with vector store</t>
  </si>
  <si>
    <t>Parallel Agents</t>
  </si>
  <si>
    <t>e58b6942d9e4d7491569887d7070bdb6305d4254</t>
  </si>
  <si>
    <t>New onboarding and feelings not features (#61) · allthriveai/allthriveai@e58b694</t>
  </si>
  <si>
    <t>Refactor Ember agent to use LangGraph checkpointing and AI gateway</t>
  </si>
  <si>
    <t>459e7aa2c4f524ff91928f58e8edc2d240d083eb</t>
  </si>
  <si>
    <t>Langchain agents package (#502) · tnorlund/Portfolio@459e7aa</t>
  </si>
  <si>
    <t>Refactored imports and code structure for better readability and maintainability</t>
  </si>
  <si>
    <t>683c3eb6aec76dfb1c0016b5d33e9c00951f5d71</t>
  </si>
  <si>
    <t>https://github.com/ArieGoldkin/SkillForge/commit/683c3eb6aec76dfb1c0016b5d33e9c00951f5d71</t>
  </si>
  <si>
    <t>Refactored into multiple files to meet 200-line limit:</t>
  </si>
  <si>
    <t>Graph Modularization</t>
  </si>
  <si>
    <t>6ec67f4844c5d44d7d83f8a5ebd4e80a877bda8c</t>
  </si>
  <si>
    <t>Architectural Refactoring: Workflow &amp; Checkpoint System Improvements … · deadmanoz/orchestra@6ec67f4</t>
  </si>
  <si>
    <t>Architectural Refactoring: Workflow &amp; Checkpoint System Improvements</t>
  </si>
  <si>
    <t>96572daf769be6ebab224dd14dc21f292db35292</t>
  </si>
  <si>
    <t>Graph Restructure</t>
  </si>
  <si>
    <t>Minimize Conditional Routing</t>
  </si>
  <si>
    <t>feat: GPT-5.1 support, hydration fix, and image URL fixes (#121) · lucelsbyleverageAI/agent-os-starter-kit@96572da</t>
  </si>
  <si>
    <t>refactor: simplify deepagent to use inline pre_model_hook</t>
  </si>
  <si>
    <t>8cbb047ac27f991dabcf6396302653add7db33a7</t>
  </si>
  <si>
    <t>Maintianability</t>
  </si>
  <si>
    <t>feat(ci): add GitHub Actions CI/CD workflows (#1) · HuskyDanny/FinancialAgent@8cbb047</t>
  </si>
  <si>
    <t>refactor(agent): modularize agent and tools architecture</t>
  </si>
  <si>
    <t>ef6ed6fa475a79cf6a52c3a5bf405c8d3a94414b</t>
  </si>
  <si>
    <t>feat: add LiteLLM integration for Anthropic prompt caching (#79) · Annotation-Garden/HEDit@ef6ed6f</t>
  </si>
  <si>
    <t>kwargs</t>
  </si>
  <si>
    <t>add LiteLLM integration for Anthropic prompt caching</t>
  </si>
  <si>
    <t>ffe23613dfa5a90e3b03cff809114aa21df74599</t>
  </si>
  <si>
    <t>Performance/Compatibility/Cost</t>
  </si>
  <si>
    <t>Add report verification tool (#7) · stride-nyc/export-langsmith-data@ffe2361</t>
  </si>
  <si>
    <t>Extract cache tokens from LangChain message structure</t>
  </si>
  <si>
    <t>Categorized Refactoring 5</t>
  </si>
  <si>
    <t>Categorized Refactoring 6</t>
  </si>
  <si>
    <t/>
  </si>
  <si>
    <t>Altered agent architecture</t>
  </si>
  <si>
    <t>LangChain Objects</t>
  </si>
  <si>
    <t>Recursion Limit</t>
  </si>
  <si>
    <t>Tool Naming Conventions</t>
  </si>
  <si>
    <t>Parallel Tools</t>
  </si>
  <si>
    <t>Parallel Nodes</t>
  </si>
  <si>
    <t>Node Naming conventions</t>
  </si>
  <si>
    <t>StructuredTool</t>
  </si>
  <si>
    <t>Additional Kwargs</t>
  </si>
  <si>
    <t>Limit Node Returns</t>
  </si>
  <si>
    <t>Tool Refactor</t>
  </si>
  <si>
    <t>Altered Agent architecture</t>
  </si>
  <si>
    <t>Minimized Conditional Routing</t>
  </si>
  <si>
    <t>Maintainability/Understandability</t>
  </si>
  <si>
    <t>Scalability/Reliability/Cost</t>
  </si>
  <si>
    <t>Reliability/Observability</t>
  </si>
  <si>
    <t>https://github.com/allthriveai/allthriveai/commit/e58b6942d9e4d7491569887d7070bdb6305d4254</t>
  </si>
  <si>
    <t>https://github.com/tnorlund/Portfolio/commit/459e7aa2c4f524ff91928f58e8edc2d240d083eb</t>
  </si>
  <si>
    <t>Refactored into multiple files to meet 200-line limit</t>
  </si>
  <si>
    <t>https://github.com/deadmanoz/orchestra/commit/6ec67f4844c5d44d7d83f8a5ebd4e80a877bda8c</t>
  </si>
  <si>
    <t>https://github.com/lucelsbyleverageAI/agent-os-starter-kit/commit/96572daf769be6ebab224dd14dc21f292db35292</t>
  </si>
  <si>
    <t>https://github.com/HuskyDanny/FinancialAgent/commit/8cbb047ac27f991dabcf6396302653add7db33a7</t>
  </si>
  <si>
    <t>https://github.com/Annotation-Garden/HEDit/commit/ef6ed6fa475a79cf6a52c3a5bf405c8d3a94414b</t>
  </si>
  <si>
    <t>Cost/Compatability/Performance</t>
  </si>
  <si>
    <t>https://github.com/stride-nyc/export-langsmith-data/commit/ffe23613dfa5a90e3b03cff809114aa21df74599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</si>
</sst>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0" applyNumberFormat="0" applyBorder="0" applyAlignment="0" applyProtection="0"/>
  </cellStyleXfs>
  <cellXfs count="27">
    <xf numFmtId="0" fontId="0" fillId="0" borderId="0" xfId="0"/>
    <xf numFmtId="0" fontId="1" fillId="0" borderId="0" xfId="1"/>
    <xf numFmtId="0" fontId="0" fillId="2" borderId="1" xfId="0" applyFill="1" applyBorder="1"/>
    <xf numFmtId="0" fontId="1" fillId="0" borderId="0" xfId="1" applyBorder="1"/>
    <xf numFmtId="0" fontId="0" fillId="0" borderId="0" xfId="0" applyAlignment="1">
      <alignment wrapText="1"/>
    </xf>
    <xf numFmtId="11" fontId="0" fillId="0" borderId="0" xfId="0" applyNumberFormat="1"/>
    <xf numFmtId="0" fontId="1" fillId="0" borderId="0" xfId="1" applyFill="1" applyBorder="1"/>
    <xf numFmtId="0" fontId="2" fillId="0" borderId="0" xfId="1" applyFont="1" applyBorder="1" applyAlignment="1"/>
    <xf numFmtId="0" fontId="3" fillId="3" borderId="0" xfId="2"/>
    <xf numFmtId="0" fontId="3" fillId="3" borderId="0" xfId="2" applyBorder="1"/>
    <xf numFmtId="0" fontId="4" fillId="4" borderId="0" xfId="3"/>
    <xf numFmtId="0" fontId="4" fillId="4" borderId="0" xfId="3" applyBorder="1"/>
    <xf numFmtId="0" fontId="0" fillId="2" borderId="2" xfId="0" applyFill="1" applyBorder="1"/>
    <xf numFmtId="0" fontId="4" fillId="4" borderId="0" xfId="3" applyAlignment="1">
      <alignment horizontal="left"/>
    </xf>
    <xf numFmtId="11" fontId="4" fillId="4" borderId="0" xfId="3" applyNumberFormat="1"/>
    <xf numFmtId="0" fontId="2" fillId="0" borderId="0" xfId="0" applyFont="1"/>
    <xf numFmtId="0" fontId="5" fillId="5" borderId="0" xfId="4"/>
    <xf numFmtId="11" fontId="5" fillId="5" borderId="0" xfId="4" applyNumberFormat="1"/>
    <xf numFmtId="0" fontId="1" fillId="5" borderId="0" xfId="1" applyFill="1"/>
    <xf numFmtId="0" fontId="5" fillId="5" borderId="0" xfId="4" applyBorder="1"/>
    <xf numFmtId="0" fontId="2" fillId="0" borderId="0" xfId="3" applyFont="1" applyFill="1"/>
    <xf numFmtId="0" fontId="2" fillId="0" borderId="0" xfId="3" applyFont="1" applyFill="1" applyBorder="1"/>
    <xf numFmtId="11" fontId="2" fillId="0" borderId="0" xfId="3" applyNumberFormat="1" applyFont="1" applyFill="1"/>
    <xf numFmtId="0" fontId="0" fillId="6" borderId="0" xfId="0" applyFill="1"/>
    <xf numFmtId="0" fontId="1" fillId="6" borderId="0" xfId="1" applyFill="1" applyBorder="1"/>
    <xf numFmtId="0" fontId="1" fillId="6" borderId="0" xfId="1" applyFill="1"/>
    <xf numFmtId="0" fontId="0" fillId="0" borderId="0" xfId="0" applyNumberFormat="1"/>
  </cellXfs>
  <cellStyles count="5">
    <cellStyle name="Bad" xfId="2" builtinId="27"/>
    <cellStyle name="Good" xfId="4" builtinId="26"/>
    <cellStyle name="Hyperlink" xfId="1" builtinId="8"/>
    <cellStyle name="Neutral" xfId="3" builtinId="28"/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 tint="-0.3499862666707357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89B88"/>
      <color rgb="FFFFFF99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578F67C-23DE-4E6E-A5B6-EB34B87F7D14}" autoFormatId="16" applyNumberFormats="0" applyBorderFormats="0" applyFontFormats="0" applyPatternFormats="0" applyAlignmentFormats="0" applyWidthHeightFormats="0">
  <queryTableRefresh nextId="14">
    <queryTableFields count="13">
      <queryTableField id="1" name="SHA" tableColumnId="1"/>
      <queryTableField id="2" name="URL" tableColumnId="2"/>
      <queryTableField id="3" name="Description/Commit Message" tableColumnId="3"/>
      <queryTableField id="4" name="Categorized Refactoring 1" tableColumnId="4"/>
      <queryTableField id="5" name="Categorized Refactoring 2" tableColumnId="5"/>
      <queryTableField id="6" name="Categorized Refactoring 3" tableColumnId="6"/>
      <queryTableField id="7" name="Categorized Refactoring 4" tableColumnId="7"/>
      <queryTableField id="8" name="Categorized Refactoring 5" tableColumnId="8"/>
      <queryTableField id="9" name="Categorized Refactoring 6" tableColumnId="9"/>
      <queryTableField id="10" name="Tech Debt" tableColumnId="10"/>
      <queryTableField id="11" name="Number of Refactorings" tableColumnId="11"/>
      <queryTableField id="12" name="Number of Tech Debts Addressed" tableColumnId="12"/>
      <queryTableField id="13" name="Library" tableColumnId="1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1E6D0B-8C6A-4B9A-B10E-34F3578EE3A3}" name="Table1" displayName="Table1" ref="A1:K179" totalsRowShown="0" headerRowDxfId="15" headerRowBorderDxfId="14" tableBorderDxfId="13">
  <autoFilter ref="A1:K179" xr:uid="{E71E6D0B-8C6A-4B9A-B10E-34F3578EE3A3}"/>
  <tableColumns count="11">
    <tableColumn id="1" xr3:uid="{3D9B1759-33B1-4F7F-B9EF-15CA257FE10E}" name="SHA"/>
    <tableColumn id="2" xr3:uid="{3091618A-5C4F-43E2-A761-1BAC34268364}" name="URL" dataCellStyle="Hyperlink"/>
    <tableColumn id="3" xr3:uid="{66ADD359-D57A-4B82-99D4-682894588303}" name="Description/Commit Message"/>
    <tableColumn id="4" xr3:uid="{B036A029-1555-40AD-8219-53E298813547}" name="Categorized Refactoring 1" dataDxfId="12"/>
    <tableColumn id="5" xr3:uid="{637758F5-D2A7-479B-A940-D4F6D721FFE5}" name="Categorized Refactoring 2" dataDxfId="11"/>
    <tableColumn id="6" xr3:uid="{C4BADE45-1E49-4B24-87F6-B2186F7A92FE}" name="Categorized Refactoring 3"/>
    <tableColumn id="7" xr3:uid="{E9DFD877-7931-4600-B6F6-92915796DE2E}" name="Categorized Refactoring 4"/>
    <tableColumn id="8" xr3:uid="{B56275C4-E20B-4DB6-B44F-E0A74D4DAD85}" name="Tech Debt"/>
    <tableColumn id="9" xr3:uid="{FB78D2D1-47F7-4632-A0B2-C8A4F3A9F57F}" name="Number of Refactorings"/>
    <tableColumn id="10" xr3:uid="{E1C93C8B-0739-4DD5-A7E0-A8A011219C67}" name="Number of Tech Debts Addressed"/>
    <tableColumn id="11" xr3:uid="{36973691-185F-4E14-BB15-90A33CB36303}" name="Libra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094128-07F5-4C25-827E-159F00581B4C}" name="TruePositiveCommitsClean" displayName="TruePositiveCommitsClean" ref="A1:M164" tableType="queryTable" totalsRowShown="0">
  <autoFilter ref="A1:M164" xr:uid="{6D094128-07F5-4C25-827E-159F00581B4C}"/>
  <tableColumns count="13">
    <tableColumn id="1" xr3:uid="{E2F88FC1-A34B-4173-B467-1105D812F7D3}" uniqueName="1" name="SHA" queryTableFieldId="1" dataDxfId="10"/>
    <tableColumn id="2" xr3:uid="{E7C4D5CD-1A67-4F70-AE91-6456C9588D66}" uniqueName="2" name="URL" queryTableFieldId="2" dataDxfId="9"/>
    <tableColumn id="3" xr3:uid="{8461AA15-3D8B-46FC-97CD-6F7EA75A1950}" uniqueName="3" name="Description/Commit Message" queryTableFieldId="3" dataDxfId="8"/>
    <tableColumn id="4" xr3:uid="{9253D293-065A-4ED3-A477-5EC8A8FDF3AD}" uniqueName="4" name="Categorized Refactoring 1" queryTableFieldId="4" dataDxfId="7"/>
    <tableColumn id="5" xr3:uid="{48DBD783-6170-40E6-BEE2-8A0CF8A7C309}" uniqueName="5" name="Categorized Refactoring 2" queryTableFieldId="5" dataDxfId="6"/>
    <tableColumn id="6" xr3:uid="{D0DFF561-4909-44D2-9C87-065BB090BFFB}" uniqueName="6" name="Categorized Refactoring 3" queryTableFieldId="6" dataDxfId="5"/>
    <tableColumn id="7" xr3:uid="{961EC7E1-4F18-4E73-A0CB-46844922F488}" uniqueName="7" name="Categorized Refactoring 4" queryTableFieldId="7" dataDxfId="4"/>
    <tableColumn id="8" xr3:uid="{E43FC2F7-807A-446C-BAD0-8EEA09D57D26}" uniqueName="8" name="Categorized Refactoring 5" queryTableFieldId="8" dataDxfId="3"/>
    <tableColumn id="9" xr3:uid="{8EF22792-080D-4086-88ED-2A3E3309FAB8}" uniqueName="9" name="Categorized Refactoring 6" queryTableFieldId="9" dataDxfId="2"/>
    <tableColumn id="10" xr3:uid="{F2F207B0-B4C8-4CC9-8471-9297F88209DF}" uniqueName="10" name="Tech Debt" queryTableFieldId="10" dataDxfId="1"/>
    <tableColumn id="11" xr3:uid="{1178F231-28FB-49D3-8FC9-1C396A3842B7}" uniqueName="11" name="Number of Refactorings" queryTableFieldId="11"/>
    <tableColumn id="12" xr3:uid="{55B88613-61C9-489F-A252-91DFBF7E07D2}" uniqueName="12" name="Number of Tech Debts Addressed" queryTableFieldId="12"/>
    <tableColumn id="13" xr3:uid="{99E8D9FC-75F2-486E-BFB6-56DDBDBF6993}" uniqueName="13" name="Library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kaiser-data/multi-agent-research/commit/01ee02deda6cdb1da733ba44fa038055b835c291" TargetMode="External"/><Relationship Id="rId21" Type="http://schemas.openxmlformats.org/officeDocument/2006/relationships/hyperlink" Target="https://github.com/lothronx/cm3070-lawtime/commit/c72917ff1975277c7462ab0babc37b69d0a49fba" TargetMode="External"/><Relationship Id="rId42" Type="http://schemas.openxmlformats.org/officeDocument/2006/relationships/hyperlink" Target="https://github.com/JaymieX/JAA/commit/c373419d444a224aaf561b032ba5446e00138286" TargetMode="External"/><Relationship Id="rId63" Type="http://schemas.openxmlformats.org/officeDocument/2006/relationships/hyperlink" Target="https://github.com/cds-9-group-6/sasya-chikitsa/commit/7600564b2048f95d4e1e7e22ad67a0417cade07d" TargetMode="External"/><Relationship Id="rId84" Type="http://schemas.openxmlformats.org/officeDocument/2006/relationships/hyperlink" Target="https://github.com/HuskyDanny/FinancialAgent/commit/416b36ea1d3d1a5cadc704834a1f0c319a16f159" TargetMode="External"/><Relationship Id="rId138" Type="http://schemas.openxmlformats.org/officeDocument/2006/relationships/hyperlink" Target="https://github.com/kafkaGen/general-assistant/commit/c83e2588e088adf5f4803dff9688ef07f5e925f3" TargetMode="External"/><Relationship Id="rId159" Type="http://schemas.openxmlformats.org/officeDocument/2006/relationships/hyperlink" Target="https://github.com/himudigonda/agentum-framework/commit/9b9e854fb4369a73c591bc561c475e33722d2144" TargetMode="External"/><Relationship Id="rId170" Type="http://schemas.openxmlformats.org/officeDocument/2006/relationships/hyperlink" Target="https://github.com/AIProjects8/multiagent-telegram/commit/40b3147c3225b175dff8d17145a93a059a80dce8" TargetMode="External"/><Relationship Id="rId107" Type="http://schemas.openxmlformats.org/officeDocument/2006/relationships/hyperlink" Target="https://github.com/langflow-ai/langflow/commit/7aeb687533e53027aa477722d06d337b1a210ac6" TargetMode="External"/><Relationship Id="rId11" Type="http://schemas.openxmlformats.org/officeDocument/2006/relationships/hyperlink" Target="https://github.com/Yaswanth-Mitta/multi/commit/6779ffda3a8a21dec8afb5b57bfee345a8a19798" TargetMode="External"/><Relationship Id="rId32" Type="http://schemas.openxmlformats.org/officeDocument/2006/relationships/hyperlink" Target="https://github.com/NirelNemirovsky/aigie-io/commit/04da5c04b2a186867f244859a8172e728d7d082d" TargetMode="External"/><Relationship Id="rId53" Type="http://schemas.openxmlformats.org/officeDocument/2006/relationships/hyperlink" Target="https://github.com/RonnyRoos/cerebrobot/commit/6a5955e196dc37777c5335d2639406eeb35a7b84" TargetMode="External"/><Relationship Id="rId74" Type="http://schemas.openxmlformats.org/officeDocument/2006/relationships/hyperlink" Target="https://github.com/tenstorrent/tt-studio/commit/9d350593699204f3f90dfc10ba10156fa845ab47" TargetMode="External"/><Relationship Id="rId128" Type="http://schemas.openxmlformats.org/officeDocument/2006/relationships/hyperlink" Target="https://github.com/Svring/brain/commit/ac158890ff08cf139863941f7e80dfe56d56a680" TargetMode="External"/><Relationship Id="rId149" Type="http://schemas.openxmlformats.org/officeDocument/2006/relationships/hyperlink" Target="https://github.com/YongzhQi/stock-prediction/commit/2603bf5822ab3df95c9c231c0610b2e805642edb" TargetMode="External"/><Relationship Id="rId5" Type="http://schemas.openxmlformats.org/officeDocument/2006/relationships/hyperlink" Target="https://github.com/Prajwalkadam29/code-genesis-shift-ea401119/commit/0a0f693ab93188fab7992f336983e26ce58a696c" TargetMode="External"/><Relationship Id="rId95" Type="http://schemas.openxmlformats.org/officeDocument/2006/relationships/hyperlink" Target="https://github.com/mcp-use/mcp-use/commit/f08e870e097d31953a47a4dae476a23f0933c00a" TargetMode="External"/><Relationship Id="rId160" Type="http://schemas.openxmlformats.org/officeDocument/2006/relationships/hyperlink" Target="https://github.com/GuillermoBlanco/ai-knowledge-assistant/commit/73661de7d12d6d6f0e36588426282661e70b20e9" TargetMode="External"/><Relationship Id="rId22" Type="http://schemas.openxmlformats.org/officeDocument/2006/relationships/hyperlink" Target="https://github.com/RyanLisse/solomon-codes/commit/262c51c5f63369ace7e4c94874a4a4a21d84e75b" TargetMode="External"/><Relationship Id="rId43" Type="http://schemas.openxmlformats.org/officeDocument/2006/relationships/hyperlink" Target="https://github.com/ykinger/Buildsure-be/commit/f56c8469da9e8a2238c2c19eebf22daedfd68e59" TargetMode="External"/><Relationship Id="rId64" Type="http://schemas.openxmlformats.org/officeDocument/2006/relationships/hyperlink" Target="https://github.com/DevDeividMoura/omni-max/commit/86c356436e6468ffd7ae102120a9b2b876ebc577" TargetMode="External"/><Relationship Id="rId118" Type="http://schemas.openxmlformats.org/officeDocument/2006/relationships/hyperlink" Target="https://github.com/opensearch-project/OpenSearch-Dashboards/commit/681c9e6f06ad329386e6c654501119fd7278c537" TargetMode="External"/><Relationship Id="rId139" Type="http://schemas.openxmlformats.org/officeDocument/2006/relationships/hyperlink" Target="https://github.com/arthurmorais12/ecommerce-chat/commit/8e3edabb925f892107438516701dd6f0ac1b3def" TargetMode="External"/><Relationship Id="rId85" Type="http://schemas.openxmlformats.org/officeDocument/2006/relationships/hyperlink" Target="https://github.com/simonaszilinskas/lizdeika/commit/713bd5e1490355030336ee02242a9e7b2021e37f" TargetMode="External"/><Relationship Id="rId150" Type="http://schemas.openxmlformats.org/officeDocument/2006/relationships/hyperlink" Target="https://github.com/luckystarufo/personal_assistants/commit/18a8a6f141b1eb9d721e76197109d3b3b956ff06" TargetMode="External"/><Relationship Id="rId171" Type="http://schemas.openxmlformats.org/officeDocument/2006/relationships/hyperlink" Target="https://github.com/solanovisitor/hacs-ai/commit/cb3467c417513d6da61ad54f24b240aed8b417a1" TargetMode="External"/><Relationship Id="rId12" Type="http://schemas.openxmlformats.org/officeDocument/2006/relationships/hyperlink" Target="https://github.com/arterm-sedov/cmw-platform-agent/commit/3552ac1d79779863375d794a7426e9c707fec6b3" TargetMode="External"/><Relationship Id="rId33" Type="http://schemas.openxmlformats.org/officeDocument/2006/relationships/hyperlink" Target="https://github.com/chintamanil/cybershield/commit/07608050ca98ff61c92beec7c15b9a666d735139" TargetMode="External"/><Relationship Id="rId108" Type="http://schemas.openxmlformats.org/officeDocument/2006/relationships/hyperlink" Target="https://github.com/agent-revra/revra/commit/dbfdb82e27608b8ae60520366ba6f00d2ea607a8" TargetMode="External"/><Relationship Id="rId129" Type="http://schemas.openxmlformats.org/officeDocument/2006/relationships/hyperlink" Target="https://github.com/TuberRishi/Kisan_Dost_AI/commit/9993ad03ac4a6ef27c87bd2c57e8e6f0c08f7049" TargetMode="External"/><Relationship Id="rId54" Type="http://schemas.openxmlformats.org/officeDocument/2006/relationships/hyperlink" Target="https://github.com/parth1609/RAGveda/commit/a11d83969234368fd6c7a4a3118a23177b5e7ec8" TargetMode="External"/><Relationship Id="rId75" Type="http://schemas.openxmlformats.org/officeDocument/2006/relationships/hyperlink" Target="https://github.com/lc708/YADRA-YetAnotherDeepResearchAgent/commit/75770fed7fdfa9b1f37b0668a2225378c48775af" TargetMode="External"/><Relationship Id="rId96" Type="http://schemas.openxmlformats.org/officeDocument/2006/relationships/hyperlink" Target="https://github.com/X2bee/PlateeRAG_backend/commit/b1f5b3ed92f37dd13459d2d772f75e11bbcc27c5" TargetMode="External"/><Relationship Id="rId140" Type="http://schemas.openxmlformats.org/officeDocument/2006/relationships/hyperlink" Target="https://github.com/rudihinds/langgraph-agent/commit/49777f1f403eb9163338dedd3c44e0fb8d05abe1" TargetMode="External"/><Relationship Id="rId161" Type="http://schemas.openxmlformats.org/officeDocument/2006/relationships/hyperlink" Target="https://github.com/m-ross-thornton/resume-narrator/commit/ee1eca2a03edfe4033f181fe079bbc54a2505627" TargetMode="External"/><Relationship Id="rId6" Type="http://schemas.openxmlformats.org/officeDocument/2006/relationships/hyperlink" Target="https://github.com/Bek85/pycode/commit/1d2e9fe06b9a3d997f740104272bf77c109776a1" TargetMode="External"/><Relationship Id="rId23" Type="http://schemas.openxmlformats.org/officeDocument/2006/relationships/hyperlink" Target="https://github.com/bossjones/boss-bot/commit/f4877dc71af4bc6a2405aaf844c535cec788dde3" TargetMode="External"/><Relationship Id="rId28" Type="http://schemas.openxmlformats.org/officeDocument/2006/relationships/hyperlink" Target="https://github.com/Ege-Cakar/Automated-Risk-Assessment/commit/4df8c94080c2a208c642957a7bb0c5420ef5cb91" TargetMode="External"/><Relationship Id="rId49" Type="http://schemas.openxmlformats.org/officeDocument/2006/relationships/hyperlink" Target="https://github.com/Yousif-Abuzeid/Deep-Query/commit/14a6100a1b7eaa168c0e04ec15e7ccee75e40b2f" TargetMode="External"/><Relationship Id="rId114" Type="http://schemas.openxmlformats.org/officeDocument/2006/relationships/hyperlink" Target="https://github.com/gargpriyal/Hackathon2025/commit/af56292ffbf744b67465a5db4469b07c3429290a" TargetMode="External"/><Relationship Id="rId119" Type="http://schemas.openxmlformats.org/officeDocument/2006/relationships/hyperlink" Target="https://github.com/oasm-platform/oasm-assistant/commit/1024a413b145183291ce944702b800fea9e241bb" TargetMode="External"/><Relationship Id="rId44" Type="http://schemas.openxmlformats.org/officeDocument/2006/relationships/hyperlink" Target="https://github.com/aruizca/aruizca-resume/commit/8108951369a79d1ed04b08998697c87d5a6e3f9d" TargetMode="External"/><Relationship Id="rId60" Type="http://schemas.openxmlformats.org/officeDocument/2006/relationships/hyperlink" Target="https://github.com/epklein/ai-agents/commit/bd1eaddcb610d3a53a1128d1c3dbedfcc8106220" TargetMode="External"/><Relationship Id="rId65" Type="http://schemas.openxmlformats.org/officeDocument/2006/relationships/hyperlink" Target="https://github.com/rudihinds/langgraph-agent/commit/5a2d42957ac7f69d98642e7e858373c9e584d260" TargetMode="External"/><Relationship Id="rId81" Type="http://schemas.openxmlformats.org/officeDocument/2006/relationships/hyperlink" Target="https://github.com/unfoldingWord/bt-servant-engine/commit/fc95ea86ec986426c442ea21a6c594a7b5954b14" TargetMode="External"/><Relationship Id="rId86" Type="http://schemas.openxmlformats.org/officeDocument/2006/relationships/hyperlink" Target="https://github.com/elastic/kibana/commit/25bdd82f1ee6faeef3089793fd68a13fd8f2410a" TargetMode="External"/><Relationship Id="rId130" Type="http://schemas.openxmlformats.org/officeDocument/2006/relationships/hyperlink" Target="https://github.com/soontechgroup/ai-agents/commit/8325fc83cb3a232b0258613461cb6461eb67e8ac" TargetMode="External"/><Relationship Id="rId135" Type="http://schemas.openxmlformats.org/officeDocument/2006/relationships/hyperlink" Target="https://github.com/lointain/langchain_aisdk_adapter/commit/556ee1c1eb18ee742ec6d4b5b2952058b556697d" TargetMode="External"/><Relationship Id="rId151" Type="http://schemas.openxmlformats.org/officeDocument/2006/relationships/hyperlink" Target="https://github.com/MehdiZare/seekr-assignment/commit/f0ee5ba75154ce838124b8e5bfe4f5c8f3bf2f85" TargetMode="External"/><Relationship Id="rId156" Type="http://schemas.openxmlformats.org/officeDocument/2006/relationships/hyperlink" Target="https://github.com/AhmedShetaia/Finincial_ChatBot/commit/d9a6b5d1310be287e98e09d60fd222693383472c" TargetMode="External"/><Relationship Id="rId177" Type="http://schemas.openxmlformats.org/officeDocument/2006/relationships/hyperlink" Target="https://github.com/Annotation-Garden/HEDit/commit/ef6ed6fa475a79cf6a52c3a5bf405c8d3a94414b" TargetMode="External"/><Relationship Id="rId172" Type="http://schemas.openxmlformats.org/officeDocument/2006/relationships/hyperlink" Target="https://github.com/allthriveai/allthriveai/commit/e58b6942d9e4d7491569887d7070bdb6305d4254" TargetMode="External"/><Relationship Id="rId13" Type="http://schemas.openxmlformats.org/officeDocument/2006/relationships/hyperlink" Target="https://github.com/amitabhmanu/agentis/commit/5943fdc82b7d04eac1687acbdd78fe6acbc420be" TargetMode="External"/><Relationship Id="rId18" Type="http://schemas.openxmlformats.org/officeDocument/2006/relationships/hyperlink" Target="https://github.com/syada13/hands-on-building-llm-powered-applications/commit/dfea5f54d75ccb3a95dee12f5d8c4979ee30a612" TargetMode="External"/><Relationship Id="rId39" Type="http://schemas.openxmlformats.org/officeDocument/2006/relationships/hyperlink" Target="https://github.com/BomfimThiago/ZendeskiAgentAutomation/commit/fd6dffa35aa62265b2505e3a4e4b4f130f87ed4b" TargetMode="External"/><Relationship Id="rId109" Type="http://schemas.openxmlformats.org/officeDocument/2006/relationships/hyperlink" Target="https://github.com/coziro/ai-agent-demo/commit/047932232b127bf75e2e4840d7c390816e1d4dd8" TargetMode="External"/><Relationship Id="rId34" Type="http://schemas.openxmlformats.org/officeDocument/2006/relationships/hyperlink" Target="https://github.com/JoshuaC215/agent-service-toolkit/commit/3b6f9626e9fe5d060e4f8bfb5a312c0d495c481f" TargetMode="External"/><Relationship Id="rId50" Type="http://schemas.openxmlformats.org/officeDocument/2006/relationships/hyperlink" Target="https://github.com/Yoni-Raich/Article_Chat_Assignmentm/commit/b9f994f27f818cd86f575f4bc5f71bb81a251c68" TargetMode="External"/><Relationship Id="rId55" Type="http://schemas.openxmlformats.org/officeDocument/2006/relationships/hyperlink" Target="https://github.com/mirjebreili/Agentic-Router/commit/7c38fdd159b1600511ea90891b1b10a3dda0a724" TargetMode="External"/><Relationship Id="rId76" Type="http://schemas.openxmlformats.org/officeDocument/2006/relationships/hyperlink" Target="https://github.com/crewAIInc/crewAI/commit/870dffbb894925deb75dd1a0361b1647a1397eec" TargetMode="External"/><Relationship Id="rId97" Type="http://schemas.openxmlformats.org/officeDocument/2006/relationships/hyperlink" Target="https://github.com/ixoworld/ixo-oracles-boilerplate/commit/8b578a891c953f5e3f442236892244acbd7b59c2" TargetMode="External"/><Relationship Id="rId104" Type="http://schemas.openxmlformats.org/officeDocument/2006/relationships/hyperlink" Target="https://github.com/Kirch77/syntha/commit/0ed2b237267d24f51a5c3fb108f837a2f7b61cfe" TargetMode="External"/><Relationship Id="rId120" Type="http://schemas.openxmlformats.org/officeDocument/2006/relationships/hyperlink" Target="https://github.com/mirjebreili/Agentic-Router/commit/ab7291c0b41aeccc9c23307cb5137d15e7160ba8" TargetMode="External"/><Relationship Id="rId125" Type="http://schemas.openxmlformats.org/officeDocument/2006/relationships/hyperlink" Target="https://github.com/d-gangz/langgraph-instructor/commit/22f295939a2679dd4a184f31617acbc9c59eb865" TargetMode="External"/><Relationship Id="rId141" Type="http://schemas.openxmlformats.org/officeDocument/2006/relationships/hyperlink" Target="https://github.com/RobotecAI/rai/commit/a10e52d058f3f990c6367244cd88678082992eaa" TargetMode="External"/><Relationship Id="rId146" Type="http://schemas.openxmlformats.org/officeDocument/2006/relationships/hyperlink" Target="https://github.com/currentspace/dj/commit/d132f568cebfc27531bc84fce48bb2f44837b5c6" TargetMode="External"/><Relationship Id="rId167" Type="http://schemas.openxmlformats.org/officeDocument/2006/relationships/hyperlink" Target="https://github.com/Arc-Computer/atlas-sdk/commit/cc01e2aed1f1f3f7380eeecd744953e91abd2a11" TargetMode="External"/><Relationship Id="rId7" Type="http://schemas.openxmlformats.org/officeDocument/2006/relationships/hyperlink" Target="https://github.com/zanekoch/EndPointApp/commit/ce68096815a8a0aaf164ebb6e2393c992910c520" TargetMode="External"/><Relationship Id="rId71" Type="http://schemas.openxmlformats.org/officeDocument/2006/relationships/hyperlink" Target="https://github.com/ChatLunaLab/chatluna/commit/9f7332529850cceb0b1ab8138540796c6a47890e" TargetMode="External"/><Relationship Id="rId92" Type="http://schemas.openxmlformats.org/officeDocument/2006/relationships/hyperlink" Target="https://github.com/moikas-code/studio_moikas/commit/14e85ff479751e5c5d58a6dfcdef6d3c79102c23" TargetMode="External"/><Relationship Id="rId162" Type="http://schemas.openxmlformats.org/officeDocument/2006/relationships/hyperlink" Target="https://github.com/NirelNemirovsky/aigie-io/commit/de4c24820cd5967f1abff5f4af6dafab0207e618" TargetMode="External"/><Relationship Id="rId2" Type="http://schemas.openxmlformats.org/officeDocument/2006/relationships/hyperlink" Target="https://github.com/Mihai-Tirtara/HypochondriAI/commit/c24b8d2c2fc40913415a7883c87a5c8185a17a37" TargetMode="External"/><Relationship Id="rId29" Type="http://schemas.openxmlformats.org/officeDocument/2006/relationships/hyperlink" Target="https://github.com/J-mazz/sys-scan-graph/commit/b9a4506472e8dd660ce3d5d2e2b4f2d076a4d16f" TargetMode="External"/><Relationship Id="rId24" Type="http://schemas.openxmlformats.org/officeDocument/2006/relationships/hyperlink" Target="https://github.com/Hive-Academy/nestjs-ai-saas-starter/commit/9623904a39d7ed182c77251839b857c3fcb3ee36" TargetMode="External"/><Relationship Id="rId40" Type="http://schemas.openxmlformats.org/officeDocument/2006/relationships/hyperlink" Target="https://github.com/idvorkin/nlp/commit/dc50ee7a8c21ca32979815dc4349ab9cd8527096" TargetMode="External"/><Relationship Id="rId45" Type="http://schemas.openxmlformats.org/officeDocument/2006/relationships/hyperlink" Target="https://github.com/RunLittleTurtle/agent_inbox/commit/818d728d22511603d5815d473fe178d652a3ab79" TargetMode="External"/><Relationship Id="rId66" Type="http://schemas.openxmlformats.org/officeDocument/2006/relationships/hyperlink" Target="https://github.com/aandmaldonado/ai-resume-agent/commit/0ad71e1993b2e1361290dc93d5d04a11b66c8bdf" TargetMode="External"/><Relationship Id="rId87" Type="http://schemas.openxmlformats.org/officeDocument/2006/relationships/hyperlink" Target="https://github.com/arthurmorais12/ecommerce-chat/commit/3e924091a8e3713a712fb8bcc187696d02c5b3fb" TargetMode="External"/><Relationship Id="rId110" Type="http://schemas.openxmlformats.org/officeDocument/2006/relationships/hyperlink" Target="https://github.com/callzhang/recruiter/commit/050d52b3e547ec5812b071887b2547325ee3c5f6" TargetMode="External"/><Relationship Id="rId115" Type="http://schemas.openxmlformats.org/officeDocument/2006/relationships/hyperlink" Target="https://github.com/HAMA-team/HAMA-backend/commit/7b984c2a646dfef18e6fe07e5496f4d1ba847d5c" TargetMode="External"/><Relationship Id="rId131" Type="http://schemas.openxmlformats.org/officeDocument/2006/relationships/hyperlink" Target="https://github.com/kenomendako/gradiotest/commit/72e0826d4effe42533f6eb0d0a229d34ef5ec35f" TargetMode="External"/><Relationship Id="rId136" Type="http://schemas.openxmlformats.org/officeDocument/2006/relationships/hyperlink" Target="https://github.com/Les-Mills-Ai-Agent/RAG-Demon/commit/b7bca5a1310bdbfdd98023ad28e98954b063367c" TargetMode="External"/><Relationship Id="rId157" Type="http://schemas.openxmlformats.org/officeDocument/2006/relationships/hyperlink" Target="https://github.com/shskwmt/hikizan-emacs/commit/84365f48d52394fe39ed9ad9e8174a26ba1b9a8f" TargetMode="External"/><Relationship Id="rId178" Type="http://schemas.openxmlformats.org/officeDocument/2006/relationships/hyperlink" Target="https://github.com/stride-nyc/export-langsmith-data/commit/ffe23613dfa5a90e3b03cff809114aa21df74599" TargetMode="External"/><Relationship Id="rId61" Type="http://schemas.openxmlformats.org/officeDocument/2006/relationships/hyperlink" Target="https://github.com/itzbhushan/ez-scheduler/commit/df613f32ad6c90deb373ca309597a7beeaa16a44" TargetMode="External"/><Relationship Id="rId82" Type="http://schemas.openxmlformats.org/officeDocument/2006/relationships/hyperlink" Target="https://github.com/spin-glass/papers-rag-agent/commit/1f1028ef7a691b5fbd87cac72e2704069409a88c" TargetMode="External"/><Relationship Id="rId152" Type="http://schemas.openxmlformats.org/officeDocument/2006/relationships/hyperlink" Target="https://github.com/JBoggsy/aipa/commit/acfa16eec839c4d1e5f004e356cefc702a5a37ee" TargetMode="External"/><Relationship Id="rId173" Type="http://schemas.openxmlformats.org/officeDocument/2006/relationships/hyperlink" Target="https://github.com/tnorlund/Portfolio/commit/459e7aa2c4f524ff91928f58e8edc2d240d083eb" TargetMode="External"/><Relationship Id="rId19" Type="http://schemas.openxmlformats.org/officeDocument/2006/relationships/hyperlink" Target="https://github.com/Eden-Cohen1/Projectron/commit/b0c6e9a966b61ae3f72057f07e3c20c6cc0d8ebe" TargetMode="External"/><Relationship Id="rId14" Type="http://schemas.openxmlformats.org/officeDocument/2006/relationships/hyperlink" Target="https://github.com/GuangfengHe/calendar-agent-be/commit/05f5afef97aa9c38aa2f42c7b518df3874ad7898" TargetMode="External"/><Relationship Id="rId30" Type="http://schemas.openxmlformats.org/officeDocument/2006/relationships/hyperlink" Target="https://github.com/paxtonedgar/utilities_assist/commit/9d2428f0c37e25b043a43afd46ea3ea2d4789dc7" TargetMode="External"/><Relationship Id="rId35" Type="http://schemas.openxmlformats.org/officeDocument/2006/relationships/hyperlink" Target="https://github.com/solanovisitor/hacs-ai/commit/c8b96a231470d0a490371be61fcd7600248e2afd" TargetMode="External"/><Relationship Id="rId56" Type="http://schemas.openxmlformats.org/officeDocument/2006/relationships/hyperlink" Target="https://github.com/liam-hq/liam/commit/695e79f3eb8f74c8082cfd7c5710802733cdb251" TargetMode="External"/><Relationship Id="rId77" Type="http://schemas.openxmlformats.org/officeDocument/2006/relationships/hyperlink" Target="https://github.com/pablo-lozano-martin/genesis/commit/25d916b0f6920e360f0b7bbcc4c03a13d767596f" TargetMode="External"/><Relationship Id="rId100" Type="http://schemas.openxmlformats.org/officeDocument/2006/relationships/hyperlink" Target="https://github.com/mehrdad-abdi/diversifier/commit/8c4678d1615fbc3c0c3b97129a4789e08180cc2b" TargetMode="External"/><Relationship Id="rId105" Type="http://schemas.openxmlformats.org/officeDocument/2006/relationships/hyperlink" Target="https://github.com/prxs-ai/praxis-py-sdk/commit/63bcdd9e26938ed6aa0c8054ae25afeab8cdc05b" TargetMode="External"/><Relationship Id="rId126" Type="http://schemas.openxmlformats.org/officeDocument/2006/relationships/hyperlink" Target="https://github.com/jewells77/EchoBrandAI-Mind-Backup/commit/362b4c1fcc3129b7ac0ec6f22f75674f9c5cf6a6" TargetMode="External"/><Relationship Id="rId147" Type="http://schemas.openxmlformats.org/officeDocument/2006/relationships/hyperlink" Target="https://github.com/ssumakant/asf-genesis/commit/e0e06877ec7998da7db3bbb08719b79f554a52bd" TargetMode="External"/><Relationship Id="rId168" Type="http://schemas.openxmlformats.org/officeDocument/2006/relationships/hyperlink" Target="https://github.com/WIMUniCologne/agentic_artificial_intelligence/commit/591a28fbbc6790934cf0c05f89fed17467c68206" TargetMode="External"/><Relationship Id="rId8" Type="http://schemas.openxmlformats.org/officeDocument/2006/relationships/hyperlink" Target="https://github.com/nickberens360/nickberens-astro/commit/dee52b14e5121c8e746e7a509cf65f8dd5c176f9" TargetMode="External"/><Relationship Id="rId51" Type="http://schemas.openxmlformats.org/officeDocument/2006/relationships/hyperlink" Target="https://github.com/JoshuaC215/agent-service-toolkit/commit/3b6f9626e9fe5d060e4f8bfb5a312c0d495c481f" TargetMode="External"/><Relationship Id="rId72" Type="http://schemas.openxmlformats.org/officeDocument/2006/relationships/hyperlink" Target="https://github.com/idvorkin/nlp/commit/ed783b2aebf9bdad2de7fedcec3a9ba9e723e7f8" TargetMode="External"/><Relationship Id="rId93" Type="http://schemas.openxmlformats.org/officeDocument/2006/relationships/hyperlink" Target="https://github.com/Rajathbharadwaj/DocRAG-Backend/commit/cbe1f370adbd46b191523631613b6afd9ff213bb" TargetMode="External"/><Relationship Id="rId98" Type="http://schemas.openxmlformats.org/officeDocument/2006/relationships/hyperlink" Target="https://github.com/Infifrontend/Disruption-Management-AERON/commit/714b1fbd5f87978808e541592c4f9cfa5bdb7aa4" TargetMode="External"/><Relationship Id="rId121" Type="http://schemas.openxmlformats.org/officeDocument/2006/relationships/hyperlink" Target="https://github.com/TuberRishi/Kisan_Dost_AI/commit/55c162e2d02236f2d6a133c34f4ca3cb4a5d3824" TargetMode="External"/><Relationship Id="rId142" Type="http://schemas.openxmlformats.org/officeDocument/2006/relationships/hyperlink" Target="https://github.com/midodimori/langrepl/commit/d003cce49694ce0140249386db96b655dbe58fa0" TargetMode="External"/><Relationship Id="rId163" Type="http://schemas.openxmlformats.org/officeDocument/2006/relationships/hyperlink" Target="https://github.com/hoshinotsuyoshi/study-liam/commit/3854c2b3408f91e5aebbebd2c1373e4568ef0f4d" TargetMode="External"/><Relationship Id="rId3" Type="http://schemas.openxmlformats.org/officeDocument/2006/relationships/hyperlink" Target="https://github.com/digitalocean/langchain-gradient/commit/046e2e9a156798be98b05d351defefdf3df07928" TargetMode="External"/><Relationship Id="rId25" Type="http://schemas.openxmlformats.org/officeDocument/2006/relationships/hyperlink" Target="https://github.com/NirelNemirovsky/aigie-io/commit/ecfb314b546018e0e745344ce391a89c5d78774a" TargetMode="External"/><Relationship Id="rId46" Type="http://schemas.openxmlformats.org/officeDocument/2006/relationships/hyperlink" Target="https://github.com/TencentBlueKing/bk-lite/commit/a116793c2e22d3f93d7550ebf22ec2c46a3ccbc8" TargetMode="External"/><Relationship Id="rId67" Type="http://schemas.openxmlformats.org/officeDocument/2006/relationships/hyperlink" Target="https://github.com/idvorkin/nlp/commit/f53d33f64477f4393f87af4d9af6e3f482df9555" TargetMode="External"/><Relationship Id="rId116" Type="http://schemas.openxmlformats.org/officeDocument/2006/relationships/hyperlink" Target="https://github.com/yeshuman-io/yeshuman-agent-stack/commit/54b0b101f3cf850ac75788998b10b4b856783e36" TargetMode="External"/><Relationship Id="rId137" Type="http://schemas.openxmlformats.org/officeDocument/2006/relationships/hyperlink" Target="https://github.com/FurkanSahinnn/psychological-agent/commit/efcab0a6ae2707f8c9ab8b35a3eeddf8ca0e8565" TargetMode="External"/><Relationship Id="rId158" Type="http://schemas.openxmlformats.org/officeDocument/2006/relationships/hyperlink" Target="https://github.com/Monthlyaway/AI-Conversation/commit/180ff70e4612b4998cc08cfd5c671471baec4c1d" TargetMode="External"/><Relationship Id="rId20" Type="http://schemas.openxmlformats.org/officeDocument/2006/relationships/hyperlink" Target="https://github.com/Mohamed-B-ak/Siyadah-Call-Center-AI-maatmd-fryq/commit/57f9fd5529a48d9d4a79ece65d082c0d0e87d192" TargetMode="External"/><Relationship Id="rId41" Type="http://schemas.openxmlformats.org/officeDocument/2006/relationships/hyperlink" Target="https://github.com/vishnu2kmohan/mcp-server-langgraph/commit/e356db4a07d03bdc47ce3adbadd1ee98b9ec609d" TargetMode="External"/><Relationship Id="rId62" Type="http://schemas.openxmlformats.org/officeDocument/2006/relationships/hyperlink" Target="https://github.com/Neuroca-Inc/Neuroca/commit/d564905c3e8708de390d6307280b4049b6a04fe2" TargetMode="External"/><Relationship Id="rId83" Type="http://schemas.openxmlformats.org/officeDocument/2006/relationships/hyperlink" Target="https://github.com/unfoldingWord/bt-servant-engine/commit/231d4f2d2c062c04a233a788fd99f487ba4866bf" TargetMode="External"/><Relationship Id="rId88" Type="http://schemas.openxmlformats.org/officeDocument/2006/relationships/hyperlink" Target="https://github.com/lc708/YADRA-YetAnotherDeepResearchAgent/commit/89262f6a4d5de552233a6f2617b9324ebf864446" TargetMode="External"/><Relationship Id="rId111" Type="http://schemas.openxmlformats.org/officeDocument/2006/relationships/hyperlink" Target="https://github.com/coziro/ai-agent-demo/commit/94c4f5af7a4ac082a4edbd9ce566c4efac7f1534" TargetMode="External"/><Relationship Id="rId132" Type="http://schemas.openxmlformats.org/officeDocument/2006/relationships/hyperlink" Target="https://github.com/danny-avila/agents/commit/399dbb01547de86c1b159c30c2e139093628988f" TargetMode="External"/><Relationship Id="rId153" Type="http://schemas.openxmlformats.org/officeDocument/2006/relationships/hyperlink" Target="https://github.com/NaifMersal/Legal-assistant/commit/eb80155e80a00a04e54bfeb19d1c18381c7925de" TargetMode="External"/><Relationship Id="rId174" Type="http://schemas.openxmlformats.org/officeDocument/2006/relationships/hyperlink" Target="https://github.com/deadmanoz/orchestra/commit/6ec67f4844c5d44d7d83f8a5ebd4e80a877bda8c" TargetMode="External"/><Relationship Id="rId179" Type="http://schemas.openxmlformats.org/officeDocument/2006/relationships/hyperlink" Target="https://github.com/ArieGoldkin/SkillForge/commit/683c3eb6aec76dfb1c0016b5d33e9c00951f5d71" TargetMode="External"/><Relationship Id="rId15" Type="http://schemas.openxmlformats.org/officeDocument/2006/relationships/hyperlink" Target="https://github.com/Athallah17/StockChatbot/commit/3c8e70e26e4f7a3699d95fc8db1bbfb6fa18cb2f" TargetMode="External"/><Relationship Id="rId36" Type="http://schemas.openxmlformats.org/officeDocument/2006/relationships/hyperlink" Target="https://github.com/parth1609/RAGveda/commit/a11d83969234368fd6c7a4a3118a23177b5e7ec8" TargetMode="External"/><Relationship Id="rId57" Type="http://schemas.openxmlformats.org/officeDocument/2006/relationships/hyperlink" Target="https://github.com/launchdarkly-labs/devrel-agents-tutorial/commit/cf13775204511b3ff19ad81aa1a500c8deb23f55" TargetMode="External"/><Relationship Id="rId106" Type="http://schemas.openxmlformats.org/officeDocument/2006/relationships/hyperlink" Target="https://github.com/nguyenhonglich111-1001/Experimental/commit/3e970bfea0fb85405b07cd96dfc6e1d1ca862ed2" TargetMode="External"/><Relationship Id="rId127" Type="http://schemas.openxmlformats.org/officeDocument/2006/relationships/hyperlink" Target="https://github.com/Svring/brain/commit/217b424555593a052374469699cd35dd382ea1ca" TargetMode="External"/><Relationship Id="rId10" Type="http://schemas.openxmlformats.org/officeDocument/2006/relationships/hyperlink" Target="https://github.com/bytewhisperer11/RAG-components/commit/8b79681d58b9a5553668b581332a3a17d5213676" TargetMode="External"/><Relationship Id="rId31" Type="http://schemas.openxmlformats.org/officeDocument/2006/relationships/hyperlink" Target="https://github.com/MaazKhan3/ExpenseBot_POC/commit/e3789a4beea75045002ed2d6daf0fd75c8c9bc4d" TargetMode="External"/><Relationship Id="rId52" Type="http://schemas.openxmlformats.org/officeDocument/2006/relationships/hyperlink" Target="https://github.com/solanovisitor/hacs-ai/commit/c8b96a231470d0a490371be61fcd7600248e2afd" TargetMode="External"/><Relationship Id="rId73" Type="http://schemas.openxmlformats.org/officeDocument/2006/relationships/hyperlink" Target="https://github.com/tenstorrent/tt-studio/commit/9d350593699204f3f90dfc10ba10156fa845ab47" TargetMode="External"/><Relationship Id="rId78" Type="http://schemas.openxmlformats.org/officeDocument/2006/relationships/hyperlink" Target="https://github.com/canoekuro/analytics_ai/commit/8e53e7f5ef5ac140549db4b40eb2e299ddaad4a1" TargetMode="External"/><Relationship Id="rId94" Type="http://schemas.openxmlformats.org/officeDocument/2006/relationships/hyperlink" Target="https://github.com/Alexanderdunlop/MemGPT-Discord/commit/9eb09b5b228db748c740c20b656691b156ee3dd4" TargetMode="External"/><Relationship Id="rId99" Type="http://schemas.openxmlformats.org/officeDocument/2006/relationships/hyperlink" Target="https://github.com/tkhwang/tkhwang-pico/commit/dcf89a27e87f648130e66f752a8957591a0a97f2" TargetMode="External"/><Relationship Id="rId101" Type="http://schemas.openxmlformats.org/officeDocument/2006/relationships/hyperlink" Target="https://github.com/Gael-Android/SSU_RAG/commit/4228e4e133cd201ebb2e04d0e40c3bf27b775b4c" TargetMode="External"/><Relationship Id="rId122" Type="http://schemas.openxmlformats.org/officeDocument/2006/relationships/hyperlink" Target="https://github.com/oasm-platform/oasm-assistant/commit/45ce44dbb4c2a8724926a97dbf262110203b8f34" TargetMode="External"/><Relationship Id="rId143" Type="http://schemas.openxmlformats.org/officeDocument/2006/relationships/hyperlink" Target="https://github.com/ssdeanx/langgraph-dm/commit/f2c1dc00d6e4dc629231ce31614103ef261267e1" TargetMode="External"/><Relationship Id="rId148" Type="http://schemas.openxmlformats.org/officeDocument/2006/relationships/hyperlink" Target="https://github.com/theexperiencecompany/gaia/commit/5fe18b3dedfdf2f99dd31aa42c6ec5918fac9841" TargetMode="External"/><Relationship Id="rId164" Type="http://schemas.openxmlformats.org/officeDocument/2006/relationships/hyperlink" Target="https://github.com/idvorkin/nlp/commit/9657b08ba96d19996646c00776cf5872040f0bd6" TargetMode="External"/><Relationship Id="rId169" Type="http://schemas.openxmlformats.org/officeDocument/2006/relationships/hyperlink" Target="https://github.com/CaptainCrouton89/Saturn/commit/682feaaccedb2d05d09c5cf17d631f10eb0987c5" TargetMode="External"/><Relationship Id="rId4" Type="http://schemas.openxmlformats.org/officeDocument/2006/relationships/hyperlink" Target="https://github.com/rockc15/model-markets-playground/commit/ab5d0bcafc3930fb82ade557ed6e4b229414280d" TargetMode="External"/><Relationship Id="rId9" Type="http://schemas.openxmlformats.org/officeDocument/2006/relationships/hyperlink" Target="https://github.com/TzviGreenfeld/ai-cv-agent/commit/e50b85ed673a2612bbec84ba3f211d6ab80f6dd6" TargetMode="External"/><Relationship Id="rId180" Type="http://schemas.openxmlformats.org/officeDocument/2006/relationships/table" Target="../tables/table1.xml"/><Relationship Id="rId26" Type="http://schemas.openxmlformats.org/officeDocument/2006/relationships/hyperlink" Target="https://github.com/langchain-ai/langchain/commit/9725e1046a2295153287806807e01fe9ed611043" TargetMode="External"/><Relationship Id="rId47" Type="http://schemas.openxmlformats.org/officeDocument/2006/relationships/hyperlink" Target="https://github.com/Ziyan0219/data-cleaning-agent/commit/ad59db504daa798862aeafb880b9f357691b1812" TargetMode="External"/><Relationship Id="rId68" Type="http://schemas.openxmlformats.org/officeDocument/2006/relationships/hyperlink" Target="https://github.com/ckrough/file-classifier/commit/447a09ce9a9e4c98ea60d0eb051e01a3cf973bab" TargetMode="External"/><Relationship Id="rId89" Type="http://schemas.openxmlformats.org/officeDocument/2006/relationships/hyperlink" Target="https://github.com/lc708/YADRA-YetAnotherDeepResearchAgent/commit/a9a2413836038678895ea722415348a6322cc5f1" TargetMode="External"/><Relationship Id="rId112" Type="http://schemas.openxmlformats.org/officeDocument/2006/relationships/hyperlink" Target="https://github.com/moe1047/ai-bestie/commit/e57ce65f2ed24ebae134fdd0ee5262e7220ba3f6" TargetMode="External"/><Relationship Id="rId133" Type="http://schemas.openxmlformats.org/officeDocument/2006/relationships/hyperlink" Target="https://github.com/baotvdn/chatguard/commit/d60b4f876bd5e355cddcc389706b680b5042d246" TargetMode="External"/><Relationship Id="rId154" Type="http://schemas.openxmlformats.org/officeDocument/2006/relationships/hyperlink" Target="https://github.com/LongStoryMedia/llmmllab/commit/70e006ef3c47e51254a9f85f00ae806278e5da0d" TargetMode="External"/><Relationship Id="rId175" Type="http://schemas.openxmlformats.org/officeDocument/2006/relationships/hyperlink" Target="https://github.com/lucelsbyleverageAI/agent-os-starter-kit/commit/96572daf769be6ebab224dd14dc21f292db35292" TargetMode="External"/><Relationship Id="rId16" Type="http://schemas.openxmlformats.org/officeDocument/2006/relationships/hyperlink" Target="https://github.com/fenrick/agentic-demo/commit/b0f5724e233dc25f48d10cd4e2db9a498a60d3eb" TargetMode="External"/><Relationship Id="rId37" Type="http://schemas.openxmlformats.org/officeDocument/2006/relationships/hyperlink" Target="https://github.com/guinacio/langchain-mcp-client/commit/ba12613265b7a9918d34fb92ddb9ac731a66a433" TargetMode="External"/><Relationship Id="rId58" Type="http://schemas.openxmlformats.org/officeDocument/2006/relationships/hyperlink" Target="https://github.com/codemonkey800/lilnas/commit/7743f0c41f18199a091625ec45905fed714d1e42" TargetMode="External"/><Relationship Id="rId79" Type="http://schemas.openxmlformats.org/officeDocument/2006/relationships/hyperlink" Target="https://github.com/takuto-NA/YouAlwaysWereJS/commit/964c7e8454286335568f44ce112c7dacfb4aa8f1" TargetMode="External"/><Relationship Id="rId102" Type="http://schemas.openxmlformats.org/officeDocument/2006/relationships/hyperlink" Target="https://github.com/idvorkin/nlp/commit/5b372723475bffe6b1fc1f1d3aaa35da5fae4191" TargetMode="External"/><Relationship Id="rId123" Type="http://schemas.openxmlformats.org/officeDocument/2006/relationships/hyperlink" Target="https://github.com/anadi45/quark-chat/commit/b49fe1ece02ea9d12a3ecb8c1ad251aa0d482501" TargetMode="External"/><Relationship Id="rId144" Type="http://schemas.openxmlformats.org/officeDocument/2006/relationships/hyperlink" Target="https://github.com/Lostovayne/Agente-de-IA-usando-Next-y-Langchain/commit/e7cd19cc538f3f5156dd717c457d73df6b6dae67" TargetMode="External"/><Relationship Id="rId90" Type="http://schemas.openxmlformats.org/officeDocument/2006/relationships/hyperlink" Target="https://github.com/lc708/YADRA-YetAnotherDeepResearchAgent/commit/89fb2de9b05a5331d1b7940bae593c657dd05fc9" TargetMode="External"/><Relationship Id="rId165" Type="http://schemas.openxmlformats.org/officeDocument/2006/relationships/hyperlink" Target="https://github.com/lucelsbyleverageAI/agent-os-starter-kit/commit/e0560f8bc6397084890590771f0aabcc9817fd66" TargetMode="External"/><Relationship Id="rId27" Type="http://schemas.openxmlformats.org/officeDocument/2006/relationships/hyperlink" Target="https://github.com/harshith1204/pms-assistant/pull/121/commits/480954043d339645631848d17f3ecc4fbaf4156e" TargetMode="External"/><Relationship Id="rId48" Type="http://schemas.openxmlformats.org/officeDocument/2006/relationships/hyperlink" Target="https://github.com/ZeroBranding/GCZ-MAIN/commit/6a388889593299adbe5e845fb7db5dc718548efa" TargetMode="External"/><Relationship Id="rId69" Type="http://schemas.openxmlformats.org/officeDocument/2006/relationships/hyperlink" Target="https://github.com/Lokesh-Tallapaneni/Amazon-Affliate-Dashboard/commit/963722943a6f7d09976f7005a76db616e8462fcf" TargetMode="External"/><Relationship Id="rId113" Type="http://schemas.openxmlformats.org/officeDocument/2006/relationships/hyperlink" Target="https://github.com/synergyai-nl/svelte-langgraph/commit/1ae88f755e6d8550cff98f00c5c8baf48a65ff76" TargetMode="External"/><Relationship Id="rId134" Type="http://schemas.openxmlformats.org/officeDocument/2006/relationships/hyperlink" Target="https://github.com/Joecsr24/Luna/commit/1bfec3ad0556c3a5f54e1067a11379f5d8ce919c" TargetMode="External"/><Relationship Id="rId80" Type="http://schemas.openxmlformats.org/officeDocument/2006/relationships/hyperlink" Target="https://github.com/Kewton/MySwiftAgent/commit/c921b8b79d7470039eb416224af7adb9f8e667e3" TargetMode="External"/><Relationship Id="rId155" Type="http://schemas.openxmlformats.org/officeDocument/2006/relationships/hyperlink" Target="https://github.com/mihiarc/rpa-landuse/commit/3cbd0d6603d364355c991a956a2f928b63b2b771" TargetMode="External"/><Relationship Id="rId176" Type="http://schemas.openxmlformats.org/officeDocument/2006/relationships/hyperlink" Target="https://github.com/HuskyDanny/FinancialAgent/commit/8cbb047ac27f991dabcf6396302653add7db33a7" TargetMode="External"/><Relationship Id="rId17" Type="http://schemas.openxmlformats.org/officeDocument/2006/relationships/hyperlink" Target="https://github.com/fvanevski/knowledge_agent/commit/ef77bb2ccb38eee7f8a5e2374edb418adac4473b" TargetMode="External"/><Relationship Id="rId38" Type="http://schemas.openxmlformats.org/officeDocument/2006/relationships/hyperlink" Target="https://github.com/Dtano17/pathwise_app/commit/7e4670094d0cd943e5eac928352881126862a350" TargetMode="External"/><Relationship Id="rId59" Type="http://schemas.openxmlformats.org/officeDocument/2006/relationships/hyperlink" Target="https://github.com/cds-9-group-6/sasya-arogya-engine/commit/5f96b3c650aab2964b6bfca01c22330183aef9a6" TargetMode="External"/><Relationship Id="rId103" Type="http://schemas.openxmlformats.org/officeDocument/2006/relationships/hyperlink" Target="https://github.com/service-tisac/tisac-assistant-backend/commit/e6b1254c77ae286b294415439cf5464c074780d9" TargetMode="External"/><Relationship Id="rId124" Type="http://schemas.openxmlformats.org/officeDocument/2006/relationships/hyperlink" Target="https://github.com/d-gangz/langgraph-instructor/commit/101f0f1ba118a2f390463d439c09d23935afc2bc" TargetMode="External"/><Relationship Id="rId70" Type="http://schemas.openxmlformats.org/officeDocument/2006/relationships/hyperlink" Target="https://github.com/RazumRu/ai-company/commit/468f8dd6e129faa25a3616d799a2659c4e20d243" TargetMode="External"/><Relationship Id="rId91" Type="http://schemas.openxmlformats.org/officeDocument/2006/relationships/hyperlink" Target="https://github.com/vimalmenon/ai/commit/c432322786fa577c27bb5c84d2951ce782c805c3" TargetMode="External"/><Relationship Id="rId145" Type="http://schemas.openxmlformats.org/officeDocument/2006/relationships/hyperlink" Target="https://github.com/luistorres/medabot/commit/b44b80ae3991ac76872bec46e622c51bb5ab4cea" TargetMode="External"/><Relationship Id="rId166" Type="http://schemas.openxmlformats.org/officeDocument/2006/relationships/hyperlink" Target="https://github.com/nexi-lab/nexus/commit/42e22be41d6c3ecbda9a409619c889b5b4bea86c" TargetMode="External"/><Relationship Id="rId1" Type="http://schemas.openxmlformats.org/officeDocument/2006/relationships/hyperlink" Target="https://github.com/AnthusAI/Plexus/commit/36c67ca7c42e9ff3153fd6d8a9957f97a55dbf1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80A7D-EF9E-4178-B35F-C90D34B5E3D3}">
  <dimension ref="A1:R179"/>
  <sheetViews>
    <sheetView workbookViewId="0">
      <selection activeCell="C183" sqref="C183"/>
    </sheetView>
  </sheetViews>
  <sheetFormatPr defaultRowHeight="14.4" x14ac:dyDescent="0.3"/>
  <cols>
    <col min="1" max="1" width="42.44140625" customWidth="1"/>
    <col min="2" max="2" width="34" customWidth="1"/>
    <col min="3" max="3" width="60.109375" customWidth="1"/>
    <col min="4" max="4" width="33.5546875" customWidth="1"/>
    <col min="5" max="5" width="35.6640625" customWidth="1"/>
    <col min="6" max="6" width="27.6640625" customWidth="1"/>
    <col min="7" max="7" width="28.6640625" customWidth="1"/>
    <col min="8" max="8" width="36.6640625" customWidth="1"/>
    <col min="9" max="9" width="32.5546875" customWidth="1"/>
    <col min="10" max="10" width="28" customWidth="1"/>
    <col min="11" max="11" width="20.88671875" customWidth="1"/>
    <col min="13" max="13" width="24.88671875" customWidth="1"/>
    <col min="14" max="14" width="24.5546875" customWidth="1"/>
    <col min="17" max="17" width="15.44140625" customWidth="1"/>
    <col min="20" max="20" width="10.109375" customWidth="1"/>
  </cols>
  <sheetData>
    <row r="1" spans="1:18" x14ac:dyDescent="0.3">
      <c r="A1" s="2" t="s">
        <v>87</v>
      </c>
      <c r="B1" s="2" t="s">
        <v>0</v>
      </c>
      <c r="C1" s="2" t="s">
        <v>36</v>
      </c>
      <c r="D1" s="2" t="s">
        <v>70</v>
      </c>
      <c r="E1" s="2" t="s">
        <v>71</v>
      </c>
      <c r="F1" s="2" t="s">
        <v>72</v>
      </c>
      <c r="G1" s="2" t="s">
        <v>75</v>
      </c>
      <c r="H1" s="12" t="s">
        <v>158</v>
      </c>
      <c r="I1" s="12" t="s">
        <v>638</v>
      </c>
      <c r="J1" s="12" t="s">
        <v>639</v>
      </c>
      <c r="K1" s="12" t="s">
        <v>648</v>
      </c>
    </row>
    <row r="2" spans="1:18" ht="22.5" customHeight="1" x14ac:dyDescent="0.3">
      <c r="A2" t="s">
        <v>88</v>
      </c>
      <c r="B2" s="3" t="s">
        <v>1</v>
      </c>
      <c r="C2" s="7" t="s">
        <v>2</v>
      </c>
      <c r="D2" s="4" t="s">
        <v>637</v>
      </c>
      <c r="H2" t="s">
        <v>159</v>
      </c>
      <c r="I2">
        <v>1</v>
      </c>
      <c r="J2">
        <v>1</v>
      </c>
      <c r="K2" t="s">
        <v>649</v>
      </c>
      <c r="M2" s="1"/>
      <c r="N2" s="1"/>
    </row>
    <row r="3" spans="1:18" x14ac:dyDescent="0.3">
      <c r="A3" t="s">
        <v>89</v>
      </c>
      <c r="B3" s="3" t="s">
        <v>3</v>
      </c>
      <c r="C3" t="s">
        <v>4</v>
      </c>
      <c r="D3" t="s">
        <v>78</v>
      </c>
      <c r="E3" t="s">
        <v>155</v>
      </c>
      <c r="H3" t="s">
        <v>665</v>
      </c>
      <c r="I3">
        <v>2</v>
      </c>
      <c r="J3">
        <v>1</v>
      </c>
      <c r="K3" t="s">
        <v>650</v>
      </c>
      <c r="M3" s="1"/>
      <c r="N3" s="1"/>
    </row>
    <row r="4" spans="1:18" x14ac:dyDescent="0.3">
      <c r="A4" s="8" t="s">
        <v>90</v>
      </c>
      <c r="B4" s="9" t="s">
        <v>5</v>
      </c>
      <c r="C4" s="8" t="s">
        <v>6</v>
      </c>
      <c r="D4" s="8"/>
      <c r="E4" s="8"/>
      <c r="F4" s="8"/>
      <c r="G4" s="8"/>
      <c r="H4" s="8"/>
      <c r="I4" s="8"/>
      <c r="J4" s="8"/>
      <c r="K4" s="8"/>
      <c r="M4" s="1"/>
      <c r="N4" s="1"/>
    </row>
    <row r="5" spans="1:18" x14ac:dyDescent="0.3">
      <c r="A5" t="s">
        <v>91</v>
      </c>
      <c r="B5" s="3" t="s">
        <v>7</v>
      </c>
      <c r="C5" t="s">
        <v>8</v>
      </c>
      <c r="D5" t="s">
        <v>152</v>
      </c>
      <c r="H5" t="s">
        <v>159</v>
      </c>
      <c r="I5">
        <v>1</v>
      </c>
      <c r="J5">
        <v>1</v>
      </c>
      <c r="K5" t="s">
        <v>649</v>
      </c>
      <c r="M5" s="1"/>
      <c r="N5" s="1"/>
    </row>
    <row r="6" spans="1:18" ht="18.75" customHeight="1" x14ac:dyDescent="0.3">
      <c r="A6" s="20" t="s">
        <v>92</v>
      </c>
      <c r="B6" s="21" t="s">
        <v>9</v>
      </c>
      <c r="C6" s="20" t="s">
        <v>148</v>
      </c>
      <c r="D6" s="20" t="s">
        <v>666</v>
      </c>
      <c r="E6" s="20"/>
      <c r="F6" s="20"/>
      <c r="G6" s="20"/>
      <c r="H6" s="20" t="s">
        <v>159</v>
      </c>
      <c r="I6" s="20">
        <v>1</v>
      </c>
      <c r="J6" s="20">
        <v>1</v>
      </c>
      <c r="K6" s="20" t="s">
        <v>649</v>
      </c>
      <c r="M6" s="1" t="s">
        <v>640</v>
      </c>
      <c r="N6" s="1">
        <f>AVERAGE(J2:J169)</f>
        <v>1.6323529411764706</v>
      </c>
      <c r="Q6" t="s">
        <v>685</v>
      </c>
      <c r="R6">
        <f>COUNTIFS(D:D, "Message Handling", E:E, "&lt;&gt;")</f>
        <v>10</v>
      </c>
    </row>
    <row r="7" spans="1:18" x14ac:dyDescent="0.3">
      <c r="A7" t="s">
        <v>93</v>
      </c>
      <c r="B7" s="3" t="s">
        <v>10</v>
      </c>
      <c r="C7" t="s">
        <v>11</v>
      </c>
      <c r="D7" t="s">
        <v>138</v>
      </c>
      <c r="H7" t="s">
        <v>175</v>
      </c>
      <c r="I7">
        <v>1</v>
      </c>
      <c r="J7">
        <v>2</v>
      </c>
      <c r="K7" t="s">
        <v>649</v>
      </c>
      <c r="M7" s="1" t="s">
        <v>641</v>
      </c>
      <c r="N7" s="1">
        <f>AVERAGE(Table1[Number of Refactorings])</f>
        <v>1.7333333333333334</v>
      </c>
    </row>
    <row r="8" spans="1:18" x14ac:dyDescent="0.3">
      <c r="A8" t="s">
        <v>94</v>
      </c>
      <c r="B8" s="3" t="s">
        <v>12</v>
      </c>
      <c r="C8" t="s">
        <v>13</v>
      </c>
      <c r="D8" t="s">
        <v>78</v>
      </c>
      <c r="H8" t="s">
        <v>667</v>
      </c>
      <c r="I8">
        <v>1</v>
      </c>
      <c r="J8">
        <v>2</v>
      </c>
      <c r="K8" t="s">
        <v>650</v>
      </c>
      <c r="M8" s="1" t="s">
        <v>652</v>
      </c>
      <c r="N8" s="1">
        <f>COUNTIF(K:K, "LangGraph")</f>
        <v>103</v>
      </c>
    </row>
    <row r="9" spans="1:18" x14ac:dyDescent="0.3">
      <c r="A9" t="s">
        <v>95</v>
      </c>
      <c r="B9" s="3" t="s">
        <v>15</v>
      </c>
      <c r="C9" t="s">
        <v>14</v>
      </c>
      <c r="D9" t="s">
        <v>153</v>
      </c>
      <c r="H9" t="s">
        <v>159</v>
      </c>
      <c r="I9">
        <v>1</v>
      </c>
      <c r="J9">
        <v>1</v>
      </c>
      <c r="K9" t="s">
        <v>649</v>
      </c>
      <c r="M9" s="1" t="s">
        <v>653</v>
      </c>
      <c r="N9" s="1">
        <f>COUNTIF(H:H, "*Performance*")</f>
        <v>51</v>
      </c>
    </row>
    <row r="10" spans="1:18" x14ac:dyDescent="0.3">
      <c r="A10" t="s">
        <v>96</v>
      </c>
      <c r="B10" s="3" t="s">
        <v>17</v>
      </c>
      <c r="C10" t="s">
        <v>16</v>
      </c>
      <c r="D10" t="s">
        <v>154</v>
      </c>
      <c r="E10" t="s">
        <v>660</v>
      </c>
      <c r="F10" t="s">
        <v>661</v>
      </c>
      <c r="G10" t="s">
        <v>659</v>
      </c>
      <c r="H10" t="s">
        <v>668</v>
      </c>
      <c r="I10">
        <v>2</v>
      </c>
      <c r="J10">
        <v>2</v>
      </c>
      <c r="K10" t="s">
        <v>649</v>
      </c>
      <c r="M10" s="1" t="s">
        <v>654</v>
      </c>
      <c r="N10" s="1">
        <f>COUNTIF(H:H, "*Cost*")</f>
        <v>16</v>
      </c>
    </row>
    <row r="11" spans="1:18" x14ac:dyDescent="0.3">
      <c r="A11" t="s">
        <v>97</v>
      </c>
      <c r="B11" s="3" t="s">
        <v>18</v>
      </c>
      <c r="C11" t="s">
        <v>19</v>
      </c>
      <c r="D11" t="s">
        <v>156</v>
      </c>
      <c r="H11" t="s">
        <v>159</v>
      </c>
      <c r="I11">
        <v>1</v>
      </c>
      <c r="J11">
        <v>1</v>
      </c>
      <c r="K11" t="s">
        <v>649</v>
      </c>
      <c r="M11" s="1" t="s">
        <v>655</v>
      </c>
      <c r="N11">
        <f>COUNTIF(H:H, "*Maintainability*")</f>
        <v>88</v>
      </c>
    </row>
    <row r="12" spans="1:18" x14ac:dyDescent="0.3">
      <c r="A12" t="s">
        <v>98</v>
      </c>
      <c r="B12" s="3" t="s">
        <v>20</v>
      </c>
      <c r="C12" t="s">
        <v>21</v>
      </c>
      <c r="D12" t="s">
        <v>662</v>
      </c>
      <c r="H12" t="s">
        <v>160</v>
      </c>
      <c r="I12">
        <v>1</v>
      </c>
      <c r="J12">
        <v>2</v>
      </c>
      <c r="K12" t="s">
        <v>649</v>
      </c>
      <c r="M12" s="1" t="s">
        <v>656</v>
      </c>
      <c r="N12">
        <f>COUNTIF(H:H, "*Reliability*")</f>
        <v>90</v>
      </c>
    </row>
    <row r="13" spans="1:18" x14ac:dyDescent="0.3">
      <c r="A13" t="s">
        <v>99</v>
      </c>
      <c r="B13" s="3" t="s">
        <v>23</v>
      </c>
      <c r="C13" t="s">
        <v>22</v>
      </c>
      <c r="D13" t="s">
        <v>147</v>
      </c>
      <c r="E13" t="s">
        <v>161</v>
      </c>
      <c r="H13" t="s">
        <v>175</v>
      </c>
      <c r="I13">
        <v>2</v>
      </c>
      <c r="J13">
        <v>1</v>
      </c>
      <c r="K13" t="s">
        <v>649</v>
      </c>
      <c r="M13" s="1" t="s">
        <v>657</v>
      </c>
      <c r="N13">
        <f>COUNTIFS(H:H, "*Scalability*", H:H, "*Maintainability*")</f>
        <v>33</v>
      </c>
    </row>
    <row r="14" spans="1:18" x14ac:dyDescent="0.3">
      <c r="A14" t="s">
        <v>100</v>
      </c>
      <c r="B14" s="3" t="s">
        <v>25</v>
      </c>
      <c r="C14" t="s">
        <v>24</v>
      </c>
      <c r="D14" t="s">
        <v>147</v>
      </c>
      <c r="H14" t="s">
        <v>175</v>
      </c>
      <c r="I14">
        <v>1</v>
      </c>
      <c r="J14">
        <v>1</v>
      </c>
      <c r="K14" t="s">
        <v>649</v>
      </c>
      <c r="M14" s="1" t="s">
        <v>658</v>
      </c>
      <c r="N14">
        <f>COUNTIFS(H:H, "*Reliability*", H:H, "*Maintainability*")</f>
        <v>43</v>
      </c>
    </row>
    <row r="15" spans="1:18" x14ac:dyDescent="0.3">
      <c r="A15" s="8" t="s">
        <v>101</v>
      </c>
      <c r="B15" s="9" t="s">
        <v>26</v>
      </c>
      <c r="C15" s="8" t="s">
        <v>27</v>
      </c>
      <c r="D15" s="8"/>
      <c r="E15" s="8"/>
      <c r="F15" s="8"/>
      <c r="G15" s="8"/>
      <c r="H15" s="8"/>
      <c r="I15" s="8"/>
      <c r="J15" s="8"/>
      <c r="K15" s="8"/>
      <c r="M15" s="1"/>
    </row>
    <row r="16" spans="1:18" x14ac:dyDescent="0.3">
      <c r="A16" t="s">
        <v>102</v>
      </c>
      <c r="B16" s="3" t="s">
        <v>29</v>
      </c>
      <c r="C16" t="s">
        <v>28</v>
      </c>
      <c r="D16" t="s">
        <v>163</v>
      </c>
      <c r="H16" t="s">
        <v>162</v>
      </c>
      <c r="I16">
        <v>1</v>
      </c>
      <c r="J16">
        <v>1</v>
      </c>
      <c r="K16" t="s">
        <v>649</v>
      </c>
      <c r="M16" s="1"/>
    </row>
    <row r="17" spans="1:13" x14ac:dyDescent="0.3">
      <c r="A17" s="8" t="s">
        <v>103</v>
      </c>
      <c r="B17" s="8" t="s">
        <v>30</v>
      </c>
      <c r="C17" s="8" t="s">
        <v>31</v>
      </c>
      <c r="D17" s="8"/>
      <c r="E17" s="8"/>
      <c r="F17" s="8"/>
      <c r="G17" s="8"/>
      <c r="H17" s="8"/>
      <c r="I17" s="8"/>
      <c r="J17" s="8"/>
      <c r="K17" s="8"/>
      <c r="M17" s="1"/>
    </row>
    <row r="18" spans="1:13" x14ac:dyDescent="0.3">
      <c r="A18" t="s">
        <v>104</v>
      </c>
      <c r="B18" s="3" t="s">
        <v>32</v>
      </c>
      <c r="C18" t="s">
        <v>33</v>
      </c>
      <c r="D18" t="s">
        <v>78</v>
      </c>
      <c r="E18" t="s">
        <v>164</v>
      </c>
      <c r="F18" t="s">
        <v>165</v>
      </c>
      <c r="G18" t="s">
        <v>166</v>
      </c>
      <c r="H18" t="s">
        <v>669</v>
      </c>
      <c r="I18">
        <v>4</v>
      </c>
      <c r="J18">
        <v>1</v>
      </c>
      <c r="K18" t="s">
        <v>650</v>
      </c>
      <c r="M18" s="1"/>
    </row>
    <row r="19" spans="1:13" x14ac:dyDescent="0.3">
      <c r="A19" t="s">
        <v>105</v>
      </c>
      <c r="B19" s="3" t="s">
        <v>34</v>
      </c>
      <c r="C19" t="s">
        <v>35</v>
      </c>
      <c r="D19" t="s">
        <v>167</v>
      </c>
      <c r="H19" t="s">
        <v>162</v>
      </c>
      <c r="I19">
        <v>1</v>
      </c>
      <c r="J19">
        <v>1</v>
      </c>
      <c r="K19" t="s">
        <v>650</v>
      </c>
      <c r="M19" s="1"/>
    </row>
    <row r="20" spans="1:13" x14ac:dyDescent="0.3">
      <c r="A20" s="10" t="s">
        <v>106</v>
      </c>
      <c r="B20" s="11" t="s">
        <v>38</v>
      </c>
      <c r="C20" s="10" t="s">
        <v>37</v>
      </c>
      <c r="D20" s="10" t="s">
        <v>168</v>
      </c>
      <c r="E20" s="10"/>
      <c r="F20" s="10"/>
      <c r="G20" s="10"/>
      <c r="H20" s="10" t="s">
        <v>160</v>
      </c>
      <c r="I20" s="10">
        <v>1</v>
      </c>
      <c r="J20" s="10">
        <v>2</v>
      </c>
      <c r="K20" s="10" t="s">
        <v>650</v>
      </c>
      <c r="M20" s="1"/>
    </row>
    <row r="21" spans="1:13" x14ac:dyDescent="0.3">
      <c r="A21" s="10" t="s">
        <v>107</v>
      </c>
      <c r="B21" s="11" t="s">
        <v>40</v>
      </c>
      <c r="C21" s="10" t="s">
        <v>39</v>
      </c>
      <c r="D21" s="10" t="s">
        <v>169</v>
      </c>
      <c r="E21" s="10"/>
      <c r="F21" s="10"/>
      <c r="G21" s="10"/>
      <c r="H21" s="10" t="s">
        <v>171</v>
      </c>
      <c r="I21" s="10">
        <v>1</v>
      </c>
      <c r="J21" s="10">
        <v>1</v>
      </c>
      <c r="K21" s="10" t="s">
        <v>650</v>
      </c>
      <c r="M21" s="1"/>
    </row>
    <row r="22" spans="1:13" x14ac:dyDescent="0.3">
      <c r="A22" t="s">
        <v>108</v>
      </c>
      <c r="B22" s="3" t="s">
        <v>41</v>
      </c>
      <c r="C22" t="s">
        <v>42</v>
      </c>
      <c r="D22" t="s">
        <v>170</v>
      </c>
      <c r="H22" t="s">
        <v>171</v>
      </c>
      <c r="I22">
        <v>1</v>
      </c>
      <c r="J22">
        <v>1</v>
      </c>
      <c r="K22" t="s">
        <v>650</v>
      </c>
      <c r="M22" s="1"/>
    </row>
    <row r="23" spans="1:13" x14ac:dyDescent="0.3">
      <c r="A23" t="s">
        <v>109</v>
      </c>
      <c r="B23" s="3" t="s">
        <v>43</v>
      </c>
      <c r="C23" t="s">
        <v>44</v>
      </c>
      <c r="D23" t="s">
        <v>164</v>
      </c>
      <c r="E23" t="s">
        <v>172</v>
      </c>
      <c r="H23" t="s">
        <v>665</v>
      </c>
      <c r="I23">
        <v>2</v>
      </c>
      <c r="J23">
        <v>2</v>
      </c>
      <c r="K23" t="s">
        <v>650</v>
      </c>
      <c r="M23" s="1"/>
    </row>
    <row r="24" spans="1:13" x14ac:dyDescent="0.3">
      <c r="A24" t="s">
        <v>110</v>
      </c>
      <c r="B24" s="3" t="s">
        <v>45</v>
      </c>
      <c r="C24" t="s">
        <v>46</v>
      </c>
      <c r="D24" t="s">
        <v>78</v>
      </c>
      <c r="E24" t="s">
        <v>173</v>
      </c>
      <c r="F24" t="s">
        <v>138</v>
      </c>
      <c r="G24" t="s">
        <v>174</v>
      </c>
      <c r="H24" t="s">
        <v>670</v>
      </c>
      <c r="I24">
        <v>4</v>
      </c>
      <c r="J24">
        <v>2</v>
      </c>
      <c r="K24" t="s">
        <v>650</v>
      </c>
      <c r="M24" s="1"/>
    </row>
    <row r="25" spans="1:13" x14ac:dyDescent="0.3">
      <c r="A25" s="13" t="s">
        <v>111</v>
      </c>
      <c r="B25" s="11" t="s">
        <v>47</v>
      </c>
      <c r="C25" s="10" t="s">
        <v>48</v>
      </c>
      <c r="D25" s="10"/>
      <c r="E25" s="10"/>
      <c r="F25" s="10"/>
      <c r="G25" s="10"/>
      <c r="H25" s="10"/>
      <c r="I25" s="10"/>
      <c r="J25" s="10"/>
      <c r="K25" s="10" t="s">
        <v>650</v>
      </c>
      <c r="M25" s="1"/>
    </row>
    <row r="26" spans="1:13" x14ac:dyDescent="0.3">
      <c r="A26" t="s">
        <v>112</v>
      </c>
      <c r="B26" s="3" t="s">
        <v>49</v>
      </c>
      <c r="C26" t="s">
        <v>50</v>
      </c>
      <c r="D26" t="s">
        <v>176</v>
      </c>
      <c r="H26" t="s">
        <v>177</v>
      </c>
      <c r="J26">
        <v>1</v>
      </c>
      <c r="K26" t="s">
        <v>651</v>
      </c>
      <c r="M26" s="1"/>
    </row>
    <row r="27" spans="1:13" x14ac:dyDescent="0.3">
      <c r="A27" s="14" t="s">
        <v>113</v>
      </c>
      <c r="B27" s="11" t="s">
        <v>51</v>
      </c>
      <c r="C27" s="10" t="s">
        <v>52</v>
      </c>
      <c r="D27" s="10"/>
      <c r="E27" s="10"/>
      <c r="F27" s="10"/>
      <c r="G27" s="10"/>
      <c r="H27" s="10"/>
      <c r="I27" s="10"/>
      <c r="J27" s="10"/>
      <c r="K27" s="10" t="s">
        <v>649</v>
      </c>
      <c r="M27" s="1"/>
    </row>
    <row r="28" spans="1:13" x14ac:dyDescent="0.3">
      <c r="A28" t="s">
        <v>114</v>
      </c>
      <c r="B28" s="3" t="s">
        <v>53</v>
      </c>
      <c r="C28" t="s">
        <v>53</v>
      </c>
      <c r="D28" t="s">
        <v>178</v>
      </c>
      <c r="H28" t="s">
        <v>171</v>
      </c>
      <c r="I28">
        <v>1</v>
      </c>
      <c r="J28">
        <v>1</v>
      </c>
      <c r="K28" t="s">
        <v>651</v>
      </c>
      <c r="M28" s="1"/>
    </row>
    <row r="29" spans="1:13" x14ac:dyDescent="0.3">
      <c r="A29" t="s">
        <v>115</v>
      </c>
      <c r="B29" s="3" t="s">
        <v>54</v>
      </c>
      <c r="C29" t="s">
        <v>55</v>
      </c>
      <c r="D29" t="s">
        <v>179</v>
      </c>
      <c r="E29" t="s">
        <v>180</v>
      </c>
      <c r="F29" t="s">
        <v>164</v>
      </c>
      <c r="H29" t="s">
        <v>162</v>
      </c>
      <c r="I29">
        <v>3</v>
      </c>
      <c r="J29">
        <v>1</v>
      </c>
      <c r="K29" t="s">
        <v>650</v>
      </c>
      <c r="M29" s="1"/>
    </row>
    <row r="30" spans="1:13" x14ac:dyDescent="0.3">
      <c r="A30" t="s">
        <v>116</v>
      </c>
      <c r="B30" s="3" t="s">
        <v>56</v>
      </c>
      <c r="C30" t="s">
        <v>57</v>
      </c>
      <c r="D30" t="s">
        <v>185</v>
      </c>
      <c r="H30" t="s">
        <v>171</v>
      </c>
      <c r="I30">
        <v>1</v>
      </c>
      <c r="J30">
        <v>1</v>
      </c>
      <c r="K30" t="s">
        <v>650</v>
      </c>
      <c r="M30" s="1"/>
    </row>
    <row r="31" spans="1:13" x14ac:dyDescent="0.3">
      <c r="A31" s="8" t="s">
        <v>117</v>
      </c>
      <c r="B31" s="9" t="s">
        <v>58</v>
      </c>
      <c r="C31" s="8" t="s">
        <v>59</v>
      </c>
      <c r="D31" s="8" t="s">
        <v>142</v>
      </c>
      <c r="E31" s="8"/>
      <c r="F31" s="8"/>
      <c r="G31" s="8"/>
      <c r="H31" s="8" t="s">
        <v>171</v>
      </c>
      <c r="I31" s="8">
        <v>1</v>
      </c>
      <c r="J31" s="8">
        <v>1</v>
      </c>
      <c r="K31" s="8"/>
      <c r="M31" s="1"/>
    </row>
    <row r="32" spans="1:13" x14ac:dyDescent="0.3">
      <c r="A32" s="10" t="s">
        <v>118</v>
      </c>
      <c r="B32" s="11" t="s">
        <v>60</v>
      </c>
      <c r="C32" s="10" t="s">
        <v>61</v>
      </c>
      <c r="D32" s="10"/>
      <c r="E32" s="10"/>
      <c r="F32" s="10"/>
      <c r="G32" s="10"/>
      <c r="H32" s="10"/>
      <c r="I32" s="10"/>
      <c r="J32" s="10"/>
      <c r="K32" s="10" t="s">
        <v>650</v>
      </c>
    </row>
    <row r="33" spans="1:11" x14ac:dyDescent="0.3">
      <c r="A33" s="10" t="s">
        <v>119</v>
      </c>
      <c r="B33" s="11" t="s">
        <v>63</v>
      </c>
      <c r="C33" s="10" t="s">
        <v>62</v>
      </c>
      <c r="D33" s="10" t="s">
        <v>183</v>
      </c>
      <c r="E33" s="10"/>
      <c r="F33" s="10"/>
      <c r="G33" s="10"/>
      <c r="H33" s="10" t="s">
        <v>177</v>
      </c>
      <c r="I33" s="10">
        <v>1</v>
      </c>
      <c r="J33" s="10">
        <v>1</v>
      </c>
      <c r="K33" s="10" t="s">
        <v>650</v>
      </c>
    </row>
    <row r="34" spans="1:11" x14ac:dyDescent="0.3">
      <c r="A34" t="s">
        <v>120</v>
      </c>
      <c r="B34" s="3" t="s">
        <v>65</v>
      </c>
      <c r="C34" t="s">
        <v>64</v>
      </c>
      <c r="D34" t="s">
        <v>184</v>
      </c>
      <c r="H34" t="s">
        <v>675</v>
      </c>
      <c r="I34">
        <v>1</v>
      </c>
      <c r="J34">
        <v>1</v>
      </c>
      <c r="K34" t="s">
        <v>650</v>
      </c>
    </row>
    <row r="35" spans="1:11" x14ac:dyDescent="0.3">
      <c r="A35" t="s">
        <v>121</v>
      </c>
      <c r="B35" s="3" t="s">
        <v>66</v>
      </c>
      <c r="C35" t="s">
        <v>67</v>
      </c>
      <c r="D35" t="s">
        <v>420</v>
      </c>
      <c r="E35" t="s">
        <v>643</v>
      </c>
      <c r="H35" t="s">
        <v>671</v>
      </c>
      <c r="I35">
        <v>1</v>
      </c>
      <c r="J35">
        <v>2</v>
      </c>
      <c r="K35" t="s">
        <v>650</v>
      </c>
    </row>
    <row r="36" spans="1:11" x14ac:dyDescent="0.3">
      <c r="A36" s="16" t="s">
        <v>122</v>
      </c>
      <c r="B36" s="19" t="s">
        <v>68</v>
      </c>
      <c r="C36" s="16" t="s">
        <v>69</v>
      </c>
      <c r="D36" s="16" t="s">
        <v>420</v>
      </c>
      <c r="E36" s="16" t="s">
        <v>73</v>
      </c>
      <c r="F36" s="16" t="s">
        <v>74</v>
      </c>
      <c r="G36" s="16" t="s">
        <v>672</v>
      </c>
      <c r="H36" s="16" t="s">
        <v>670</v>
      </c>
      <c r="I36" s="16">
        <v>4</v>
      </c>
      <c r="J36" s="16">
        <v>2</v>
      </c>
      <c r="K36" s="16" t="s">
        <v>650</v>
      </c>
    </row>
    <row r="37" spans="1:11" x14ac:dyDescent="0.3">
      <c r="A37" t="s">
        <v>123</v>
      </c>
      <c r="B37" s="3" t="s">
        <v>76</v>
      </c>
      <c r="C37" t="s">
        <v>77</v>
      </c>
      <c r="D37" t="s">
        <v>78</v>
      </c>
      <c r="H37" t="s">
        <v>667</v>
      </c>
      <c r="I37">
        <v>1</v>
      </c>
      <c r="J37">
        <v>2</v>
      </c>
      <c r="K37" t="s">
        <v>650</v>
      </c>
    </row>
    <row r="38" spans="1:11" x14ac:dyDescent="0.3">
      <c r="A38" t="s">
        <v>124</v>
      </c>
      <c r="B38" s="3" t="s">
        <v>79</v>
      </c>
      <c r="C38" t="s">
        <v>80</v>
      </c>
      <c r="D38" t="s">
        <v>461</v>
      </c>
      <c r="H38" t="s">
        <v>493</v>
      </c>
      <c r="I38">
        <v>1</v>
      </c>
      <c r="K38" t="s">
        <v>650</v>
      </c>
    </row>
    <row r="39" spans="1:11" x14ac:dyDescent="0.3">
      <c r="A39" s="5" t="s">
        <v>125</v>
      </c>
      <c r="B39" s="3" t="s">
        <v>82</v>
      </c>
      <c r="C39" t="s">
        <v>83</v>
      </c>
      <c r="D39" t="s">
        <v>185</v>
      </c>
      <c r="H39" t="s">
        <v>171</v>
      </c>
      <c r="I39">
        <v>1</v>
      </c>
      <c r="J39">
        <v>1</v>
      </c>
      <c r="K39" t="s">
        <v>650</v>
      </c>
    </row>
    <row r="40" spans="1:11" x14ac:dyDescent="0.3">
      <c r="A40" t="s">
        <v>126</v>
      </c>
      <c r="B40" s="3" t="s">
        <v>84</v>
      </c>
      <c r="C40" t="s">
        <v>85</v>
      </c>
      <c r="D40" t="s">
        <v>86</v>
      </c>
      <c r="H40" t="s">
        <v>667</v>
      </c>
      <c r="I40">
        <v>1</v>
      </c>
      <c r="K40" t="s">
        <v>650</v>
      </c>
    </row>
    <row r="41" spans="1:11" x14ac:dyDescent="0.3">
      <c r="A41" s="10" t="s">
        <v>128</v>
      </c>
      <c r="B41" s="11" t="s">
        <v>127</v>
      </c>
      <c r="C41" s="10"/>
      <c r="D41" s="10" t="s">
        <v>247</v>
      </c>
      <c r="E41" s="10"/>
      <c r="F41" s="10"/>
      <c r="G41" s="10"/>
      <c r="H41" s="10"/>
      <c r="I41" s="10">
        <v>1</v>
      </c>
      <c r="J41" s="10"/>
      <c r="K41" s="10" t="s">
        <v>649</v>
      </c>
    </row>
    <row r="42" spans="1:11" x14ac:dyDescent="0.3">
      <c r="A42" t="s">
        <v>131</v>
      </c>
      <c r="B42" s="3" t="s">
        <v>130</v>
      </c>
      <c r="C42" t="s">
        <v>151</v>
      </c>
      <c r="D42" t="s">
        <v>461</v>
      </c>
      <c r="E42" t="s">
        <v>132</v>
      </c>
      <c r="H42" t="s">
        <v>673</v>
      </c>
      <c r="I42">
        <v>2</v>
      </c>
      <c r="K42" t="s">
        <v>650</v>
      </c>
    </row>
    <row r="43" spans="1:11" x14ac:dyDescent="0.3">
      <c r="A43" s="23" t="s">
        <v>133</v>
      </c>
      <c r="B43" s="24" t="s">
        <v>134</v>
      </c>
      <c r="C43" s="23" t="s">
        <v>135</v>
      </c>
      <c r="D43" s="23" t="s">
        <v>78</v>
      </c>
      <c r="E43" s="23" t="s">
        <v>461</v>
      </c>
      <c r="F43" s="23"/>
      <c r="G43" s="23"/>
      <c r="H43" s="23" t="s">
        <v>674</v>
      </c>
      <c r="I43" s="23">
        <v>2</v>
      </c>
      <c r="J43" s="23"/>
      <c r="K43" s="23" t="s">
        <v>650</v>
      </c>
    </row>
    <row r="44" spans="1:11" x14ac:dyDescent="0.3">
      <c r="A44" t="s">
        <v>137</v>
      </c>
      <c r="B44" s="3" t="s">
        <v>136</v>
      </c>
      <c r="C44" t="s">
        <v>139</v>
      </c>
      <c r="D44" t="s">
        <v>138</v>
      </c>
      <c r="E44" t="s">
        <v>461</v>
      </c>
      <c r="H44" t="s">
        <v>583</v>
      </c>
      <c r="I44">
        <v>2</v>
      </c>
    </row>
    <row r="45" spans="1:11" x14ac:dyDescent="0.3">
      <c r="A45" t="s">
        <v>141</v>
      </c>
      <c r="B45" s="3" t="s">
        <v>140</v>
      </c>
      <c r="C45" t="s">
        <v>144</v>
      </c>
      <c r="D45" t="s">
        <v>142</v>
      </c>
      <c r="E45" t="s">
        <v>143</v>
      </c>
      <c r="H45" t="s">
        <v>238</v>
      </c>
      <c r="I45">
        <v>2</v>
      </c>
    </row>
    <row r="46" spans="1:11" x14ac:dyDescent="0.3">
      <c r="A46" t="s">
        <v>145</v>
      </c>
      <c r="B46" s="6" t="s">
        <v>146</v>
      </c>
      <c r="C46" t="s">
        <v>146</v>
      </c>
      <c r="D46" t="s">
        <v>147</v>
      </c>
      <c r="H46" t="s">
        <v>175</v>
      </c>
      <c r="I46">
        <v>1</v>
      </c>
    </row>
    <row r="47" spans="1:11" x14ac:dyDescent="0.3">
      <c r="A47" t="s">
        <v>150</v>
      </c>
      <c r="B47" s="1" t="s">
        <v>149</v>
      </c>
      <c r="D47" t="s">
        <v>147</v>
      </c>
      <c r="H47" t="s">
        <v>175</v>
      </c>
      <c r="I47">
        <v>1</v>
      </c>
    </row>
    <row r="48" spans="1:11" x14ac:dyDescent="0.3">
      <c r="A48" t="s">
        <v>187</v>
      </c>
      <c r="B48" s="1" t="s">
        <v>186</v>
      </c>
      <c r="C48" t="s">
        <v>188</v>
      </c>
      <c r="D48" t="s">
        <v>78</v>
      </c>
      <c r="E48" t="s">
        <v>189</v>
      </c>
      <c r="H48" t="s">
        <v>676</v>
      </c>
      <c r="I48">
        <v>2</v>
      </c>
      <c r="K48" t="s">
        <v>650</v>
      </c>
    </row>
    <row r="49" spans="1:11" x14ac:dyDescent="0.3">
      <c r="A49" t="s">
        <v>191</v>
      </c>
      <c r="B49" s="1" t="s">
        <v>190</v>
      </c>
      <c r="D49" t="s">
        <v>185</v>
      </c>
      <c r="H49" t="s">
        <v>171</v>
      </c>
      <c r="I49">
        <v>1</v>
      </c>
      <c r="K49" t="s">
        <v>650</v>
      </c>
    </row>
    <row r="50" spans="1:11" x14ac:dyDescent="0.3">
      <c r="A50" t="s">
        <v>192</v>
      </c>
      <c r="B50" s="1" t="s">
        <v>193</v>
      </c>
      <c r="C50" t="s">
        <v>194</v>
      </c>
      <c r="D50" t="s">
        <v>154</v>
      </c>
      <c r="E50" t="s">
        <v>164</v>
      </c>
      <c r="H50" t="s">
        <v>677</v>
      </c>
      <c r="I50">
        <v>2</v>
      </c>
      <c r="J50">
        <v>1</v>
      </c>
      <c r="K50" t="s">
        <v>650</v>
      </c>
    </row>
    <row r="51" spans="1:11" x14ac:dyDescent="0.3">
      <c r="A51" t="s">
        <v>196</v>
      </c>
      <c r="B51" s="1" t="s">
        <v>195</v>
      </c>
      <c r="C51" t="s">
        <v>197</v>
      </c>
      <c r="D51" t="s">
        <v>78</v>
      </c>
      <c r="E51" t="s">
        <v>164</v>
      </c>
      <c r="H51" t="s">
        <v>175</v>
      </c>
      <c r="I51">
        <v>2</v>
      </c>
      <c r="J51">
        <v>2</v>
      </c>
      <c r="K51" t="s">
        <v>650</v>
      </c>
    </row>
    <row r="52" spans="1:11" x14ac:dyDescent="0.3">
      <c r="A52" t="s">
        <v>121</v>
      </c>
      <c r="B52" s="1" t="s">
        <v>66</v>
      </c>
      <c r="C52" t="s">
        <v>67</v>
      </c>
      <c r="D52" t="s">
        <v>164</v>
      </c>
      <c r="E52" t="s">
        <v>147</v>
      </c>
      <c r="H52" t="s">
        <v>424</v>
      </c>
      <c r="I52">
        <v>2</v>
      </c>
      <c r="K52" t="s">
        <v>650</v>
      </c>
    </row>
    <row r="53" spans="1:11" x14ac:dyDescent="0.3">
      <c r="A53" t="s">
        <v>122</v>
      </c>
      <c r="B53" s="1" t="s">
        <v>68</v>
      </c>
      <c r="C53" t="s">
        <v>200</v>
      </c>
      <c r="D53" t="s">
        <v>78</v>
      </c>
      <c r="E53" t="s">
        <v>198</v>
      </c>
      <c r="F53" t="s">
        <v>199</v>
      </c>
      <c r="G53" t="s">
        <v>166</v>
      </c>
      <c r="H53" t="s">
        <v>670</v>
      </c>
      <c r="I53">
        <v>4</v>
      </c>
      <c r="J53">
        <v>2</v>
      </c>
      <c r="K53" t="s">
        <v>650</v>
      </c>
    </row>
    <row r="54" spans="1:11" x14ac:dyDescent="0.3">
      <c r="A54" t="s">
        <v>202</v>
      </c>
      <c r="B54" s="1" t="s">
        <v>203</v>
      </c>
      <c r="C54" t="s">
        <v>204</v>
      </c>
      <c r="D54" t="s">
        <v>461</v>
      </c>
      <c r="E54" t="s">
        <v>662</v>
      </c>
      <c r="F54" t="s">
        <v>201</v>
      </c>
      <c r="H54" t="s">
        <v>587</v>
      </c>
      <c r="I54">
        <v>3</v>
      </c>
      <c r="J54">
        <v>1</v>
      </c>
    </row>
    <row r="55" spans="1:11" x14ac:dyDescent="0.3">
      <c r="A55" t="s">
        <v>123</v>
      </c>
      <c r="B55" s="1" t="s">
        <v>76</v>
      </c>
      <c r="C55" t="s">
        <v>205</v>
      </c>
      <c r="D55" t="s">
        <v>78</v>
      </c>
      <c r="H55" t="s">
        <v>667</v>
      </c>
      <c r="I55">
        <v>1</v>
      </c>
    </row>
    <row r="56" spans="1:11" x14ac:dyDescent="0.3">
      <c r="A56" t="s">
        <v>207</v>
      </c>
      <c r="B56" s="1" t="s">
        <v>208</v>
      </c>
      <c r="C56" t="s">
        <v>206</v>
      </c>
      <c r="D56" t="s">
        <v>164</v>
      </c>
      <c r="H56" t="s">
        <v>441</v>
      </c>
      <c r="I56">
        <v>1</v>
      </c>
      <c r="J56">
        <v>2</v>
      </c>
      <c r="K56" t="s">
        <v>650</v>
      </c>
    </row>
    <row r="57" spans="1:11" x14ac:dyDescent="0.3">
      <c r="A57" s="8" t="s">
        <v>211</v>
      </c>
      <c r="B57" s="8" t="s">
        <v>210</v>
      </c>
      <c r="C57" s="8" t="s">
        <v>213</v>
      </c>
      <c r="D57" s="8" t="s">
        <v>212</v>
      </c>
      <c r="E57" s="8"/>
      <c r="F57" s="8"/>
      <c r="G57" s="8"/>
      <c r="H57" s="8" t="s">
        <v>209</v>
      </c>
      <c r="I57" s="8">
        <v>1</v>
      </c>
      <c r="J57" s="8"/>
      <c r="K57" s="8"/>
    </row>
    <row r="58" spans="1:11" x14ac:dyDescent="0.3">
      <c r="A58" t="s">
        <v>214</v>
      </c>
      <c r="B58" s="1" t="s">
        <v>215</v>
      </c>
      <c r="D58" t="s">
        <v>170</v>
      </c>
      <c r="E58" t="s">
        <v>147</v>
      </c>
      <c r="F58" t="s">
        <v>588</v>
      </c>
      <c r="H58" t="s">
        <v>560</v>
      </c>
    </row>
    <row r="59" spans="1:11" x14ac:dyDescent="0.3">
      <c r="A59" t="s">
        <v>216</v>
      </c>
      <c r="B59" s="1" t="s">
        <v>217</v>
      </c>
      <c r="C59" t="s">
        <v>218</v>
      </c>
      <c r="D59" t="s">
        <v>219</v>
      </c>
      <c r="E59" t="s">
        <v>220</v>
      </c>
      <c r="H59" t="s">
        <v>162</v>
      </c>
      <c r="I59">
        <v>2</v>
      </c>
      <c r="J59">
        <v>1</v>
      </c>
    </row>
    <row r="60" spans="1:11" x14ac:dyDescent="0.3">
      <c r="A60" s="10" t="s">
        <v>222</v>
      </c>
      <c r="B60" s="10" t="s">
        <v>221</v>
      </c>
      <c r="C60" s="10" t="s">
        <v>223</v>
      </c>
      <c r="D60" s="10" t="s">
        <v>224</v>
      </c>
      <c r="E60" s="10" t="s">
        <v>166</v>
      </c>
      <c r="F60" s="10"/>
      <c r="G60" s="10"/>
      <c r="H60" s="10" t="s">
        <v>177</v>
      </c>
      <c r="I60" s="10">
        <v>2</v>
      </c>
      <c r="J60" s="10">
        <v>1</v>
      </c>
      <c r="K60" s="10" t="s">
        <v>650</v>
      </c>
    </row>
    <row r="61" spans="1:11" x14ac:dyDescent="0.3">
      <c r="A61" t="s">
        <v>227</v>
      </c>
      <c r="B61" s="1" t="s">
        <v>225</v>
      </c>
      <c r="C61" t="s">
        <v>226</v>
      </c>
      <c r="D61" t="s">
        <v>138</v>
      </c>
      <c r="E61" t="s">
        <v>228</v>
      </c>
      <c r="H61" t="s">
        <v>181</v>
      </c>
      <c r="I61">
        <v>2</v>
      </c>
      <c r="J61">
        <v>2</v>
      </c>
    </row>
    <row r="62" spans="1:11" x14ac:dyDescent="0.3">
      <c r="A62" s="8" t="s">
        <v>230</v>
      </c>
      <c r="B62" s="8" t="s">
        <v>229</v>
      </c>
      <c r="C62" s="8" t="s">
        <v>231</v>
      </c>
      <c r="D62" s="8" t="s">
        <v>81</v>
      </c>
      <c r="E62" s="8"/>
      <c r="F62" s="8"/>
      <c r="G62" s="8"/>
      <c r="H62" s="8" t="s">
        <v>181</v>
      </c>
      <c r="I62" s="8">
        <v>1</v>
      </c>
      <c r="J62" s="8">
        <v>2</v>
      </c>
      <c r="K62" s="8"/>
    </row>
    <row r="63" spans="1:11" x14ac:dyDescent="0.3">
      <c r="A63" t="s">
        <v>233</v>
      </c>
      <c r="B63" t="s">
        <v>232</v>
      </c>
      <c r="C63" t="s">
        <v>234</v>
      </c>
      <c r="D63" t="s">
        <v>678</v>
      </c>
      <c r="H63" t="s">
        <v>181</v>
      </c>
      <c r="I63">
        <v>1</v>
      </c>
      <c r="J63">
        <v>2</v>
      </c>
    </row>
    <row r="64" spans="1:11" x14ac:dyDescent="0.3">
      <c r="A64" t="s">
        <v>237</v>
      </c>
      <c r="B64" s="1" t="s">
        <v>236</v>
      </c>
      <c r="C64" t="s">
        <v>235</v>
      </c>
      <c r="D64" t="s">
        <v>189</v>
      </c>
      <c r="H64" t="s">
        <v>238</v>
      </c>
      <c r="I64">
        <v>1</v>
      </c>
      <c r="J64">
        <v>2</v>
      </c>
      <c r="K64" t="s">
        <v>650</v>
      </c>
    </row>
    <row r="65" spans="1:11" x14ac:dyDescent="0.3">
      <c r="A65" t="s">
        <v>240</v>
      </c>
      <c r="B65" s="1" t="s">
        <v>239</v>
      </c>
      <c r="C65" t="s">
        <v>241</v>
      </c>
      <c r="D65" t="s">
        <v>168</v>
      </c>
      <c r="E65" t="s">
        <v>461</v>
      </c>
      <c r="H65" t="s">
        <v>431</v>
      </c>
      <c r="I65">
        <v>2</v>
      </c>
      <c r="J65">
        <v>1</v>
      </c>
      <c r="K65" t="s">
        <v>650</v>
      </c>
    </row>
    <row r="66" spans="1:11" x14ac:dyDescent="0.3">
      <c r="A66" t="s">
        <v>243</v>
      </c>
      <c r="B66" s="1" t="s">
        <v>242</v>
      </c>
      <c r="C66" t="s">
        <v>244</v>
      </c>
      <c r="D66" t="s">
        <v>245</v>
      </c>
      <c r="H66" t="s">
        <v>578</v>
      </c>
      <c r="I66">
        <v>1</v>
      </c>
      <c r="J66">
        <v>1</v>
      </c>
      <c r="K66" t="s">
        <v>650</v>
      </c>
    </row>
    <row r="67" spans="1:11" x14ac:dyDescent="0.3">
      <c r="A67" t="s">
        <v>249</v>
      </c>
      <c r="B67" s="1" t="s">
        <v>248</v>
      </c>
      <c r="C67" t="s">
        <v>251</v>
      </c>
      <c r="D67" t="s">
        <v>246</v>
      </c>
      <c r="E67" t="s">
        <v>247</v>
      </c>
      <c r="F67" t="s">
        <v>250</v>
      </c>
      <c r="H67" t="s">
        <v>371</v>
      </c>
      <c r="I67">
        <v>3</v>
      </c>
      <c r="J67">
        <v>1</v>
      </c>
    </row>
    <row r="68" spans="1:11" x14ac:dyDescent="0.3">
      <c r="A68" t="s">
        <v>254</v>
      </c>
      <c r="B68" s="1" t="s">
        <v>253</v>
      </c>
      <c r="C68" t="s">
        <v>252</v>
      </c>
      <c r="D68" t="s">
        <v>129</v>
      </c>
      <c r="E68" t="s">
        <v>247</v>
      </c>
      <c r="H68" t="s">
        <v>162</v>
      </c>
      <c r="I68">
        <v>2</v>
      </c>
      <c r="J68">
        <v>1</v>
      </c>
    </row>
    <row r="69" spans="1:11" x14ac:dyDescent="0.3">
      <c r="A69" t="s">
        <v>255</v>
      </c>
      <c r="B69" s="1" t="s">
        <v>256</v>
      </c>
      <c r="C69" t="s">
        <v>257</v>
      </c>
      <c r="D69" t="s">
        <v>138</v>
      </c>
      <c r="H69" t="s">
        <v>175</v>
      </c>
      <c r="I69">
        <v>1</v>
      </c>
      <c r="J69">
        <v>2</v>
      </c>
    </row>
    <row r="70" spans="1:11" x14ac:dyDescent="0.3">
      <c r="A70" t="s">
        <v>259</v>
      </c>
      <c r="B70" s="1" t="s">
        <v>260</v>
      </c>
      <c r="C70" t="s">
        <v>258</v>
      </c>
      <c r="D70" t="s">
        <v>129</v>
      </c>
      <c r="H70" t="s">
        <v>162</v>
      </c>
      <c r="I70">
        <v>1</v>
      </c>
      <c r="J70">
        <v>1</v>
      </c>
    </row>
    <row r="71" spans="1:11" x14ac:dyDescent="0.3">
      <c r="A71" t="s">
        <v>261</v>
      </c>
      <c r="B71" s="1" t="s">
        <v>262</v>
      </c>
      <c r="C71" t="s">
        <v>263</v>
      </c>
      <c r="D71" t="s">
        <v>81</v>
      </c>
      <c r="E71" t="s">
        <v>264</v>
      </c>
      <c r="F71" t="s">
        <v>198</v>
      </c>
      <c r="H71" t="s">
        <v>265</v>
      </c>
      <c r="I71">
        <v>3</v>
      </c>
      <c r="J71">
        <v>2</v>
      </c>
    </row>
    <row r="72" spans="1:11" x14ac:dyDescent="0.3">
      <c r="A72" t="s">
        <v>267</v>
      </c>
      <c r="B72" s="1" t="s">
        <v>266</v>
      </c>
      <c r="C72" t="s">
        <v>269</v>
      </c>
      <c r="D72" t="s">
        <v>268</v>
      </c>
      <c r="E72" t="s">
        <v>588</v>
      </c>
      <c r="H72" t="s">
        <v>436</v>
      </c>
      <c r="I72">
        <v>2</v>
      </c>
    </row>
    <row r="73" spans="1:11" x14ac:dyDescent="0.3">
      <c r="A73" s="20" t="s">
        <v>271</v>
      </c>
      <c r="B73" s="20" t="s">
        <v>272</v>
      </c>
      <c r="C73" s="20" t="s">
        <v>270</v>
      </c>
      <c r="D73" s="20" t="s">
        <v>247</v>
      </c>
      <c r="E73" s="20"/>
      <c r="F73" s="20"/>
      <c r="G73" s="20"/>
      <c r="H73" s="20" t="s">
        <v>436</v>
      </c>
      <c r="I73">
        <v>1</v>
      </c>
      <c r="J73">
        <v>1</v>
      </c>
    </row>
    <row r="74" spans="1:11" x14ac:dyDescent="0.3">
      <c r="A74" s="8" t="s">
        <v>274</v>
      </c>
      <c r="B74" s="8" t="s">
        <v>273</v>
      </c>
      <c r="C74" s="8"/>
      <c r="D74" s="8"/>
      <c r="E74" s="8"/>
      <c r="F74" s="8"/>
      <c r="G74" s="8"/>
      <c r="H74" s="8"/>
      <c r="I74" s="8"/>
      <c r="J74" s="8"/>
      <c r="K74" s="8"/>
    </row>
    <row r="75" spans="1:11" x14ac:dyDescent="0.3">
      <c r="A75" s="16" t="s">
        <v>275</v>
      </c>
      <c r="B75" s="16" t="s">
        <v>276</v>
      </c>
      <c r="C75" s="16" t="s">
        <v>277</v>
      </c>
      <c r="D75" s="16" t="s">
        <v>147</v>
      </c>
      <c r="E75" s="16" t="s">
        <v>220</v>
      </c>
      <c r="F75" s="16" t="s">
        <v>278</v>
      </c>
      <c r="G75" s="16" t="s">
        <v>461</v>
      </c>
      <c r="H75" s="16" t="s">
        <v>162</v>
      </c>
      <c r="I75" s="16">
        <v>3</v>
      </c>
      <c r="J75" s="16">
        <v>1</v>
      </c>
      <c r="K75" s="16" t="s">
        <v>650</v>
      </c>
    </row>
    <row r="76" spans="1:11" x14ac:dyDescent="0.3">
      <c r="A76" t="s">
        <v>281</v>
      </c>
      <c r="B76" s="1" t="s">
        <v>280</v>
      </c>
      <c r="C76" t="s">
        <v>279</v>
      </c>
      <c r="D76" t="s">
        <v>198</v>
      </c>
      <c r="E76" t="s">
        <v>664</v>
      </c>
      <c r="H76" t="s">
        <v>162</v>
      </c>
      <c r="I76">
        <v>1</v>
      </c>
      <c r="J76">
        <v>1</v>
      </c>
      <c r="K76" t="s">
        <v>650</v>
      </c>
    </row>
    <row r="77" spans="1:11" x14ac:dyDescent="0.3">
      <c r="A77" s="20" t="s">
        <v>282</v>
      </c>
      <c r="B77" s="20" t="s">
        <v>283</v>
      </c>
      <c r="C77" s="20"/>
      <c r="D77" s="20" t="s">
        <v>679</v>
      </c>
      <c r="E77" s="20" t="s">
        <v>461</v>
      </c>
      <c r="F77" s="20" t="s">
        <v>557</v>
      </c>
      <c r="G77" s="20"/>
      <c r="H77" s="20" t="s">
        <v>513</v>
      </c>
      <c r="I77" s="15">
        <v>2</v>
      </c>
      <c r="J77" s="15">
        <v>3</v>
      </c>
      <c r="K77" s="15" t="s">
        <v>650</v>
      </c>
    </row>
    <row r="78" spans="1:11" x14ac:dyDescent="0.3">
      <c r="A78" s="20" t="s">
        <v>285</v>
      </c>
      <c r="B78" s="20" t="s">
        <v>284</v>
      </c>
      <c r="C78" s="20"/>
      <c r="D78" s="20" t="s">
        <v>247</v>
      </c>
      <c r="E78" s="20" t="s">
        <v>680</v>
      </c>
      <c r="F78" s="20"/>
      <c r="G78" s="20"/>
      <c r="H78" s="20" t="s">
        <v>436</v>
      </c>
      <c r="I78">
        <v>1</v>
      </c>
    </row>
    <row r="79" spans="1:11" x14ac:dyDescent="0.3">
      <c r="A79" t="s">
        <v>286</v>
      </c>
      <c r="B79" s="1" t="s">
        <v>287</v>
      </c>
      <c r="C79" t="s">
        <v>288</v>
      </c>
      <c r="D79" t="s">
        <v>289</v>
      </c>
      <c r="E79" t="s">
        <v>147</v>
      </c>
      <c r="H79" t="s">
        <v>181</v>
      </c>
      <c r="I79">
        <v>2</v>
      </c>
      <c r="J79">
        <v>1</v>
      </c>
      <c r="K79" t="s">
        <v>650</v>
      </c>
    </row>
    <row r="80" spans="1:11" x14ac:dyDescent="0.3">
      <c r="A80" s="20" t="s">
        <v>295</v>
      </c>
      <c r="B80" s="20" t="s">
        <v>290</v>
      </c>
      <c r="C80" s="20" t="s">
        <v>681</v>
      </c>
      <c r="D80" s="20" t="s">
        <v>156</v>
      </c>
      <c r="E80" s="20" t="s">
        <v>147</v>
      </c>
      <c r="F80" s="20"/>
      <c r="G80" s="20"/>
      <c r="H80" s="20" t="s">
        <v>181</v>
      </c>
      <c r="I80">
        <v>2</v>
      </c>
      <c r="J80">
        <v>2</v>
      </c>
      <c r="K80" t="s">
        <v>650</v>
      </c>
    </row>
    <row r="81" spans="1:11" x14ac:dyDescent="0.3">
      <c r="A81" s="22" t="s">
        <v>292</v>
      </c>
      <c r="B81" s="20" t="s">
        <v>291</v>
      </c>
      <c r="C81" s="20" t="s">
        <v>293</v>
      </c>
      <c r="D81" s="20" t="s">
        <v>294</v>
      </c>
      <c r="E81" s="20"/>
      <c r="F81" s="20"/>
      <c r="G81" s="20"/>
      <c r="H81" s="20" t="s">
        <v>159</v>
      </c>
      <c r="I81">
        <v>1</v>
      </c>
      <c r="J81">
        <v>1</v>
      </c>
      <c r="K81" t="s">
        <v>650</v>
      </c>
    </row>
    <row r="82" spans="1:11" x14ac:dyDescent="0.3">
      <c r="A82" t="s">
        <v>296</v>
      </c>
      <c r="B82" s="1" t="s">
        <v>297</v>
      </c>
      <c r="C82" t="s">
        <v>298</v>
      </c>
      <c r="D82" t="s">
        <v>299</v>
      </c>
      <c r="E82" t="s">
        <v>166</v>
      </c>
      <c r="H82" t="s">
        <v>162</v>
      </c>
      <c r="I82">
        <v>2</v>
      </c>
      <c r="J82">
        <v>1</v>
      </c>
      <c r="K82" t="s">
        <v>650</v>
      </c>
    </row>
    <row r="83" spans="1:11" x14ac:dyDescent="0.3">
      <c r="A83" t="s">
        <v>300</v>
      </c>
      <c r="B83" s="1" t="s">
        <v>301</v>
      </c>
      <c r="C83" t="s">
        <v>302</v>
      </c>
      <c r="D83" t="s">
        <v>129</v>
      </c>
      <c r="E83" t="s">
        <v>303</v>
      </c>
      <c r="H83" t="s">
        <v>304</v>
      </c>
      <c r="I83">
        <v>2</v>
      </c>
      <c r="J83">
        <v>2</v>
      </c>
      <c r="K83" t="s">
        <v>650</v>
      </c>
    </row>
    <row r="84" spans="1:11" x14ac:dyDescent="0.3">
      <c r="A84" t="s">
        <v>306</v>
      </c>
      <c r="B84" t="s">
        <v>305</v>
      </c>
      <c r="C84" t="s">
        <v>682</v>
      </c>
      <c r="D84" t="s">
        <v>147</v>
      </c>
      <c r="H84" t="s">
        <v>181</v>
      </c>
      <c r="I84">
        <v>1</v>
      </c>
      <c r="J84">
        <v>2</v>
      </c>
      <c r="K84" t="s">
        <v>650</v>
      </c>
    </row>
    <row r="85" spans="1:11" x14ac:dyDescent="0.3">
      <c r="A85" s="15" t="s">
        <v>307</v>
      </c>
      <c r="B85" s="1" t="s">
        <v>308</v>
      </c>
      <c r="C85" t="s">
        <v>309</v>
      </c>
      <c r="D85" t="s">
        <v>147</v>
      </c>
      <c r="E85" t="s">
        <v>461</v>
      </c>
      <c r="H85" t="s">
        <v>181</v>
      </c>
      <c r="I85">
        <v>2</v>
      </c>
      <c r="J85">
        <v>2</v>
      </c>
      <c r="K85" t="s">
        <v>649</v>
      </c>
    </row>
    <row r="86" spans="1:11" x14ac:dyDescent="0.3">
      <c r="A86" t="s">
        <v>310</v>
      </c>
      <c r="B86" s="1" t="s">
        <v>311</v>
      </c>
      <c r="C86" t="s">
        <v>312</v>
      </c>
      <c r="D86" t="s">
        <v>78</v>
      </c>
      <c r="E86" t="s">
        <v>314</v>
      </c>
      <c r="F86" t="s">
        <v>245</v>
      </c>
      <c r="H86" t="s">
        <v>667</v>
      </c>
      <c r="I86">
        <v>3</v>
      </c>
      <c r="J86">
        <v>1</v>
      </c>
      <c r="K86" t="s">
        <v>650</v>
      </c>
    </row>
    <row r="87" spans="1:11" x14ac:dyDescent="0.3">
      <c r="A87" s="5" t="s">
        <v>315</v>
      </c>
      <c r="B87" s="1" t="s">
        <v>316</v>
      </c>
      <c r="C87" t="s">
        <v>317</v>
      </c>
      <c r="D87" t="s">
        <v>318</v>
      </c>
      <c r="H87" t="s">
        <v>171</v>
      </c>
      <c r="I87">
        <v>1</v>
      </c>
      <c r="J87">
        <v>1</v>
      </c>
    </row>
    <row r="88" spans="1:11" x14ac:dyDescent="0.3">
      <c r="A88" t="s">
        <v>320</v>
      </c>
      <c r="B88" s="1" t="s">
        <v>319</v>
      </c>
      <c r="C88" t="s">
        <v>321</v>
      </c>
      <c r="D88" t="s">
        <v>147</v>
      </c>
      <c r="H88" t="s">
        <v>159</v>
      </c>
      <c r="I88">
        <v>1</v>
      </c>
      <c r="J88">
        <v>1</v>
      </c>
    </row>
    <row r="89" spans="1:11" x14ac:dyDescent="0.3">
      <c r="A89" t="s">
        <v>323</v>
      </c>
      <c r="B89" s="1" t="s">
        <v>324</v>
      </c>
      <c r="C89" t="s">
        <v>322</v>
      </c>
      <c r="D89" t="s">
        <v>147</v>
      </c>
      <c r="H89" t="s">
        <v>159</v>
      </c>
      <c r="I89">
        <v>1</v>
      </c>
      <c r="J89">
        <v>1</v>
      </c>
    </row>
    <row r="90" spans="1:11" x14ac:dyDescent="0.3">
      <c r="A90" t="s">
        <v>325</v>
      </c>
      <c r="B90" s="1" t="s">
        <v>326</v>
      </c>
      <c r="C90" t="s">
        <v>327</v>
      </c>
      <c r="D90" t="s">
        <v>147</v>
      </c>
      <c r="H90" t="s">
        <v>159</v>
      </c>
      <c r="I90">
        <v>1</v>
      </c>
      <c r="J90">
        <v>1</v>
      </c>
    </row>
    <row r="91" spans="1:11" x14ac:dyDescent="0.3">
      <c r="A91" t="s">
        <v>328</v>
      </c>
      <c r="B91" s="1" t="s">
        <v>329</v>
      </c>
      <c r="C91" t="s">
        <v>330</v>
      </c>
      <c r="D91" t="s">
        <v>245</v>
      </c>
      <c r="H91" t="s">
        <v>331</v>
      </c>
      <c r="I91">
        <v>1</v>
      </c>
      <c r="J91">
        <v>2</v>
      </c>
      <c r="K91" t="s">
        <v>650</v>
      </c>
    </row>
    <row r="92" spans="1:11" x14ac:dyDescent="0.3">
      <c r="A92" s="8" t="s">
        <v>332</v>
      </c>
      <c r="B92" s="8" t="s">
        <v>333</v>
      </c>
      <c r="C92" s="8" t="s">
        <v>334</v>
      </c>
      <c r="D92" s="8" t="s">
        <v>245</v>
      </c>
      <c r="E92" s="8" t="s">
        <v>335</v>
      </c>
      <c r="F92" s="8"/>
      <c r="G92" s="8"/>
      <c r="H92" s="8"/>
      <c r="I92" s="8"/>
      <c r="J92" s="8"/>
      <c r="K92" s="8"/>
    </row>
    <row r="93" spans="1:11" x14ac:dyDescent="0.3">
      <c r="A93" s="20" t="s">
        <v>337</v>
      </c>
      <c r="B93" s="20" t="s">
        <v>338</v>
      </c>
      <c r="C93" s="20" t="s">
        <v>336</v>
      </c>
      <c r="D93" s="20" t="s">
        <v>335</v>
      </c>
      <c r="E93" s="20" t="s">
        <v>220</v>
      </c>
      <c r="F93" s="20" t="s">
        <v>557</v>
      </c>
      <c r="G93" s="20"/>
      <c r="H93" s="20" t="s">
        <v>683</v>
      </c>
      <c r="I93">
        <v>2</v>
      </c>
      <c r="J93">
        <v>2</v>
      </c>
    </row>
    <row r="94" spans="1:11" x14ac:dyDescent="0.3">
      <c r="A94" s="16" t="s">
        <v>339</v>
      </c>
      <c r="B94" s="16" t="s">
        <v>340</v>
      </c>
      <c r="C94" s="16" t="s">
        <v>341</v>
      </c>
      <c r="D94" s="16" t="s">
        <v>170</v>
      </c>
      <c r="E94" s="16" t="s">
        <v>147</v>
      </c>
      <c r="F94" s="16" t="s">
        <v>342</v>
      </c>
      <c r="G94" s="16" t="s">
        <v>166</v>
      </c>
      <c r="H94" s="16" t="s">
        <v>560</v>
      </c>
      <c r="I94">
        <v>4</v>
      </c>
      <c r="J94">
        <v>3</v>
      </c>
      <c r="K94" t="s">
        <v>650</v>
      </c>
    </row>
    <row r="95" spans="1:11" x14ac:dyDescent="0.3">
      <c r="A95" s="20" t="s">
        <v>343</v>
      </c>
      <c r="B95" s="20" t="s">
        <v>344</v>
      </c>
      <c r="C95" s="20" t="s">
        <v>345</v>
      </c>
      <c r="D95" s="20" t="s">
        <v>349</v>
      </c>
      <c r="E95" s="20" t="s">
        <v>147</v>
      </c>
      <c r="F95" s="20"/>
      <c r="G95" s="20"/>
      <c r="H95" s="20" t="s">
        <v>181</v>
      </c>
      <c r="I95">
        <v>1</v>
      </c>
    </row>
    <row r="96" spans="1:11" x14ac:dyDescent="0.3">
      <c r="A96" s="20" t="s">
        <v>347</v>
      </c>
      <c r="B96" s="20" t="s">
        <v>348</v>
      </c>
      <c r="C96" s="20" t="s">
        <v>346</v>
      </c>
      <c r="D96" s="20" t="s">
        <v>349</v>
      </c>
      <c r="E96" s="20" t="s">
        <v>147</v>
      </c>
      <c r="F96" s="20"/>
      <c r="G96" s="20"/>
      <c r="H96" s="20"/>
      <c r="I96">
        <v>1</v>
      </c>
    </row>
    <row r="97" spans="1:11" x14ac:dyDescent="0.3">
      <c r="A97" s="20" t="s">
        <v>350</v>
      </c>
      <c r="B97" s="20" t="s">
        <v>351</v>
      </c>
      <c r="C97" s="20" t="s">
        <v>352</v>
      </c>
      <c r="D97" s="20" t="s">
        <v>353</v>
      </c>
      <c r="E97" s="20" t="s">
        <v>147</v>
      </c>
      <c r="F97" s="20"/>
      <c r="G97" s="20"/>
      <c r="H97" s="20" t="s">
        <v>181</v>
      </c>
      <c r="I97">
        <v>1</v>
      </c>
      <c r="J97">
        <v>1</v>
      </c>
    </row>
    <row r="98" spans="1:11" x14ac:dyDescent="0.3">
      <c r="A98" s="8" t="s">
        <v>354</v>
      </c>
      <c r="B98" s="8" t="s">
        <v>355</v>
      </c>
      <c r="C98" s="8" t="s">
        <v>356</v>
      </c>
      <c r="D98" s="8" t="s">
        <v>357</v>
      </c>
      <c r="E98" s="8" t="s">
        <v>358</v>
      </c>
      <c r="F98" s="8"/>
      <c r="G98" s="8"/>
      <c r="H98" s="8" t="s">
        <v>686</v>
      </c>
      <c r="I98" s="8">
        <v>2</v>
      </c>
      <c r="J98" s="8"/>
      <c r="K98" s="8" t="s">
        <v>649</v>
      </c>
    </row>
    <row r="99" spans="1:11" x14ac:dyDescent="0.3">
      <c r="A99" t="s">
        <v>360</v>
      </c>
      <c r="B99" s="1" t="s">
        <v>359</v>
      </c>
      <c r="C99" t="s">
        <v>361</v>
      </c>
      <c r="D99" t="s">
        <v>147</v>
      </c>
      <c r="H99" t="s">
        <v>162</v>
      </c>
      <c r="I99">
        <v>1</v>
      </c>
      <c r="J99">
        <v>1</v>
      </c>
    </row>
    <row r="100" spans="1:11" x14ac:dyDescent="0.3">
      <c r="A100" s="16" t="s">
        <v>364</v>
      </c>
      <c r="B100" s="16" t="s">
        <v>365</v>
      </c>
      <c r="C100" s="16" t="s">
        <v>363</v>
      </c>
      <c r="D100" s="16" t="s">
        <v>156</v>
      </c>
      <c r="E100" s="16" t="s">
        <v>362</v>
      </c>
      <c r="F100" s="16"/>
      <c r="G100" s="16"/>
      <c r="H100" s="16" t="s">
        <v>366</v>
      </c>
      <c r="I100">
        <v>2</v>
      </c>
      <c r="J100">
        <v>3</v>
      </c>
    </row>
    <row r="101" spans="1:11" x14ac:dyDescent="0.3">
      <c r="A101" t="s">
        <v>368</v>
      </c>
      <c r="B101" s="1" t="s">
        <v>367</v>
      </c>
      <c r="C101" t="s">
        <v>369</v>
      </c>
      <c r="D101" t="s">
        <v>246</v>
      </c>
      <c r="E101" t="s">
        <v>370</v>
      </c>
      <c r="F101" t="s">
        <v>372</v>
      </c>
      <c r="H101" t="s">
        <v>371</v>
      </c>
      <c r="I101">
        <v>3</v>
      </c>
      <c r="J101">
        <v>2</v>
      </c>
    </row>
    <row r="102" spans="1:11" x14ac:dyDescent="0.3">
      <c r="A102" s="8" t="s">
        <v>374</v>
      </c>
      <c r="B102" s="8" t="s">
        <v>373</v>
      </c>
      <c r="C102" s="8" t="s">
        <v>375</v>
      </c>
      <c r="D102" s="8" t="s">
        <v>376</v>
      </c>
      <c r="E102" s="8"/>
      <c r="F102" s="8"/>
      <c r="G102" s="8"/>
      <c r="H102" s="8" t="s">
        <v>162</v>
      </c>
      <c r="I102" s="8">
        <v>1</v>
      </c>
      <c r="J102" s="8">
        <v>1</v>
      </c>
      <c r="K102" s="8" t="s">
        <v>649</v>
      </c>
    </row>
    <row r="103" spans="1:11" x14ac:dyDescent="0.3">
      <c r="A103" t="s">
        <v>378</v>
      </c>
      <c r="B103" s="1" t="s">
        <v>379</v>
      </c>
      <c r="C103" t="s">
        <v>377</v>
      </c>
      <c r="D103" t="s">
        <v>147</v>
      </c>
      <c r="E103" t="s">
        <v>376</v>
      </c>
      <c r="H103" t="s">
        <v>181</v>
      </c>
      <c r="I103">
        <v>2</v>
      </c>
      <c r="J103">
        <v>2</v>
      </c>
      <c r="K103" t="s">
        <v>651</v>
      </c>
    </row>
    <row r="104" spans="1:11" x14ac:dyDescent="0.3">
      <c r="A104" s="8" t="s">
        <v>382</v>
      </c>
      <c r="B104" s="8" t="s">
        <v>381</v>
      </c>
      <c r="C104" s="8" t="s">
        <v>380</v>
      </c>
      <c r="D104" s="8" t="s">
        <v>383</v>
      </c>
      <c r="E104" s="8"/>
      <c r="F104" s="8"/>
      <c r="G104" s="8"/>
      <c r="H104" s="8" t="s">
        <v>175</v>
      </c>
      <c r="I104" s="8">
        <v>1</v>
      </c>
      <c r="J104" s="8">
        <v>2</v>
      </c>
      <c r="K104" s="8" t="s">
        <v>651</v>
      </c>
    </row>
    <row r="105" spans="1:11" x14ac:dyDescent="0.3">
      <c r="A105" s="20" t="s">
        <v>384</v>
      </c>
      <c r="B105" s="20" t="s">
        <v>385</v>
      </c>
      <c r="C105" s="20" t="s">
        <v>389</v>
      </c>
      <c r="D105" s="20" t="s">
        <v>386</v>
      </c>
      <c r="E105" s="20" t="s">
        <v>387</v>
      </c>
      <c r="F105" s="20" t="s">
        <v>388</v>
      </c>
      <c r="G105" s="20"/>
      <c r="H105" s="20" t="s">
        <v>159</v>
      </c>
      <c r="I105">
        <v>3</v>
      </c>
      <c r="J105">
        <v>1</v>
      </c>
      <c r="K105" t="s">
        <v>649</v>
      </c>
    </row>
    <row r="106" spans="1:11" x14ac:dyDescent="0.3">
      <c r="A106" s="5" t="s">
        <v>391</v>
      </c>
      <c r="B106" s="1" t="s">
        <v>390</v>
      </c>
      <c r="C106" t="s">
        <v>392</v>
      </c>
      <c r="D106" t="s">
        <v>142</v>
      </c>
      <c r="E106" t="s">
        <v>370</v>
      </c>
      <c r="H106" t="s">
        <v>182</v>
      </c>
      <c r="I106">
        <v>2</v>
      </c>
      <c r="J106">
        <v>2</v>
      </c>
      <c r="K106" t="s">
        <v>649</v>
      </c>
    </row>
    <row r="107" spans="1:11" x14ac:dyDescent="0.3">
      <c r="A107" s="20" t="s">
        <v>393</v>
      </c>
      <c r="B107" s="20" t="s">
        <v>394</v>
      </c>
      <c r="C107" s="20" t="s">
        <v>395</v>
      </c>
      <c r="D107" s="20" t="s">
        <v>142</v>
      </c>
      <c r="E107" s="20" t="s">
        <v>147</v>
      </c>
      <c r="F107" s="20"/>
      <c r="G107" s="20"/>
      <c r="H107" s="20" t="s">
        <v>687</v>
      </c>
      <c r="I107">
        <v>3</v>
      </c>
      <c r="J107">
        <v>2</v>
      </c>
      <c r="K107" t="s">
        <v>649</v>
      </c>
    </row>
    <row r="108" spans="1:11" x14ac:dyDescent="0.3">
      <c r="A108" t="s">
        <v>397</v>
      </c>
      <c r="B108" s="1" t="s">
        <v>398</v>
      </c>
      <c r="C108" t="s">
        <v>396</v>
      </c>
      <c r="D108" t="s">
        <v>289</v>
      </c>
      <c r="E108" t="s">
        <v>461</v>
      </c>
      <c r="F108" t="s">
        <v>147</v>
      </c>
      <c r="H108" t="s">
        <v>175</v>
      </c>
      <c r="I108">
        <v>3</v>
      </c>
      <c r="J108">
        <v>2</v>
      </c>
      <c r="K108" t="s">
        <v>650</v>
      </c>
    </row>
    <row r="109" spans="1:11" x14ac:dyDescent="0.3">
      <c r="A109" t="s">
        <v>399</v>
      </c>
      <c r="B109" s="1" t="s">
        <v>400</v>
      </c>
      <c r="C109" t="s">
        <v>401</v>
      </c>
      <c r="D109" t="s">
        <v>402</v>
      </c>
      <c r="H109" t="s">
        <v>159</v>
      </c>
      <c r="I109">
        <v>1</v>
      </c>
      <c r="J109">
        <v>1</v>
      </c>
      <c r="K109" t="s">
        <v>650</v>
      </c>
    </row>
    <row r="110" spans="1:11" x14ac:dyDescent="0.3">
      <c r="A110" t="s">
        <v>403</v>
      </c>
      <c r="B110" s="1" t="s">
        <v>404</v>
      </c>
      <c r="C110" t="s">
        <v>405</v>
      </c>
      <c r="D110" t="s">
        <v>86</v>
      </c>
      <c r="E110" t="s">
        <v>406</v>
      </c>
      <c r="H110" t="s">
        <v>159</v>
      </c>
      <c r="I110">
        <v>2</v>
      </c>
      <c r="J110">
        <v>1</v>
      </c>
      <c r="K110" t="s">
        <v>650</v>
      </c>
    </row>
    <row r="111" spans="1:11" x14ac:dyDescent="0.3">
      <c r="A111" t="s">
        <v>408</v>
      </c>
      <c r="B111" s="1" t="s">
        <v>409</v>
      </c>
      <c r="C111" t="s">
        <v>407</v>
      </c>
      <c r="D111" t="s">
        <v>342</v>
      </c>
      <c r="H111" t="s">
        <v>162</v>
      </c>
      <c r="I111">
        <v>1</v>
      </c>
      <c r="J111">
        <v>1</v>
      </c>
      <c r="K111" t="s">
        <v>650</v>
      </c>
    </row>
    <row r="112" spans="1:11" x14ac:dyDescent="0.3">
      <c r="A112" t="s">
        <v>411</v>
      </c>
      <c r="B112" s="1" t="s">
        <v>410</v>
      </c>
      <c r="C112" t="s">
        <v>412</v>
      </c>
      <c r="D112" t="s">
        <v>245</v>
      </c>
      <c r="H112" t="s">
        <v>159</v>
      </c>
      <c r="I112">
        <v>1</v>
      </c>
      <c r="J112">
        <v>1</v>
      </c>
      <c r="K112" t="s">
        <v>650</v>
      </c>
    </row>
    <row r="113" spans="1:11" x14ac:dyDescent="0.3">
      <c r="A113" t="s">
        <v>414</v>
      </c>
      <c r="B113" s="1" t="s">
        <v>415</v>
      </c>
      <c r="C113" t="s">
        <v>413</v>
      </c>
      <c r="D113" t="s">
        <v>416</v>
      </c>
      <c r="E113" t="s">
        <v>247</v>
      </c>
      <c r="H113" t="s">
        <v>238</v>
      </c>
      <c r="I113">
        <v>2</v>
      </c>
      <c r="J113">
        <v>2</v>
      </c>
      <c r="K113" t="s">
        <v>650</v>
      </c>
    </row>
    <row r="114" spans="1:11" x14ac:dyDescent="0.3">
      <c r="A114" s="20" t="s">
        <v>418</v>
      </c>
      <c r="B114" s="20" t="s">
        <v>417</v>
      </c>
      <c r="C114" s="20" t="s">
        <v>419</v>
      </c>
      <c r="D114" s="20" t="s">
        <v>461</v>
      </c>
      <c r="E114" s="20"/>
      <c r="F114" s="20"/>
      <c r="G114" s="20"/>
      <c r="H114" s="20" t="s">
        <v>431</v>
      </c>
      <c r="I114">
        <v>1</v>
      </c>
      <c r="J114">
        <v>1</v>
      </c>
      <c r="K114" t="s">
        <v>650</v>
      </c>
    </row>
    <row r="115" spans="1:11" x14ac:dyDescent="0.3">
      <c r="A115" t="s">
        <v>421</v>
      </c>
      <c r="B115" s="1" t="s">
        <v>422</v>
      </c>
      <c r="C115" t="s">
        <v>423</v>
      </c>
      <c r="D115" t="s">
        <v>78</v>
      </c>
      <c r="E115" t="s">
        <v>166</v>
      </c>
      <c r="H115" t="s">
        <v>424</v>
      </c>
      <c r="I115">
        <v>2</v>
      </c>
      <c r="J115">
        <v>3</v>
      </c>
      <c r="K115" t="s">
        <v>650</v>
      </c>
    </row>
    <row r="116" spans="1:11" x14ac:dyDescent="0.3">
      <c r="A116" t="s">
        <v>425</v>
      </c>
      <c r="B116" s="1" t="s">
        <v>426</v>
      </c>
      <c r="C116" t="s">
        <v>427</v>
      </c>
      <c r="D116" t="s">
        <v>81</v>
      </c>
      <c r="H116" t="s">
        <v>265</v>
      </c>
      <c r="I116">
        <v>1</v>
      </c>
      <c r="J116">
        <v>2</v>
      </c>
      <c r="K116" t="s">
        <v>650</v>
      </c>
    </row>
    <row r="117" spans="1:11" x14ac:dyDescent="0.3">
      <c r="A117" s="20" t="s">
        <v>428</v>
      </c>
      <c r="B117" s="20" t="s">
        <v>429</v>
      </c>
      <c r="C117" s="20" t="s">
        <v>430</v>
      </c>
      <c r="D117" s="20" t="s">
        <v>164</v>
      </c>
      <c r="E117" s="20" t="s">
        <v>129</v>
      </c>
      <c r="F117" s="20" t="s">
        <v>78</v>
      </c>
      <c r="G117" s="20" t="s">
        <v>432</v>
      </c>
      <c r="H117" s="20" t="s">
        <v>583</v>
      </c>
      <c r="I117">
        <v>4</v>
      </c>
      <c r="J117">
        <v>2</v>
      </c>
      <c r="K117" t="s">
        <v>650</v>
      </c>
    </row>
    <row r="118" spans="1:11" x14ac:dyDescent="0.3">
      <c r="A118" s="8" t="s">
        <v>434</v>
      </c>
      <c r="B118" s="8" t="s">
        <v>433</v>
      </c>
      <c r="C118" s="8" t="s">
        <v>435</v>
      </c>
      <c r="D118" s="8" t="s">
        <v>684</v>
      </c>
      <c r="E118" s="8"/>
      <c r="F118" s="8"/>
      <c r="G118" s="8"/>
      <c r="H118" s="8" t="s">
        <v>436</v>
      </c>
      <c r="I118" s="8">
        <v>1</v>
      </c>
      <c r="J118" s="8">
        <v>2</v>
      </c>
      <c r="K118" s="8" t="s">
        <v>650</v>
      </c>
    </row>
    <row r="119" spans="1:11" x14ac:dyDescent="0.3">
      <c r="A119" s="20" t="s">
        <v>438</v>
      </c>
      <c r="B119" s="20" t="s">
        <v>437</v>
      </c>
      <c r="C119" s="20" t="s">
        <v>449</v>
      </c>
      <c r="D119" s="20" t="s">
        <v>688</v>
      </c>
      <c r="E119" s="20"/>
      <c r="F119" s="20"/>
      <c r="G119" s="20"/>
      <c r="H119" s="20" t="s">
        <v>159</v>
      </c>
      <c r="I119">
        <v>1</v>
      </c>
      <c r="J119">
        <v>1</v>
      </c>
      <c r="K119" t="s">
        <v>650</v>
      </c>
    </row>
    <row r="120" spans="1:11" x14ac:dyDescent="0.3">
      <c r="A120" t="s">
        <v>440</v>
      </c>
      <c r="B120" s="1" t="s">
        <v>439</v>
      </c>
      <c r="C120" t="s">
        <v>442</v>
      </c>
      <c r="D120" t="s">
        <v>78</v>
      </c>
      <c r="H120" t="s">
        <v>441</v>
      </c>
      <c r="I120">
        <v>1</v>
      </c>
      <c r="J120">
        <v>2</v>
      </c>
      <c r="K120" t="s">
        <v>650</v>
      </c>
    </row>
    <row r="121" spans="1:11" x14ac:dyDescent="0.3">
      <c r="A121" s="20" t="s">
        <v>443</v>
      </c>
      <c r="B121" s="20" t="s">
        <v>444</v>
      </c>
      <c r="C121" s="20" t="s">
        <v>445</v>
      </c>
      <c r="D121" s="20" t="s">
        <v>446</v>
      </c>
      <c r="E121" s="20"/>
      <c r="F121" s="20"/>
      <c r="G121" s="20"/>
      <c r="H121" s="20" t="s">
        <v>182</v>
      </c>
      <c r="I121" s="15">
        <v>1</v>
      </c>
      <c r="J121">
        <v>2</v>
      </c>
      <c r="K121" t="s">
        <v>650</v>
      </c>
    </row>
    <row r="122" spans="1:11" x14ac:dyDescent="0.3">
      <c r="A122" t="s">
        <v>447</v>
      </c>
      <c r="B122" s="1" t="s">
        <v>448</v>
      </c>
      <c r="C122" t="s">
        <v>449</v>
      </c>
      <c r="D122" t="s">
        <v>183</v>
      </c>
      <c r="E122" t="s">
        <v>450</v>
      </c>
      <c r="F122" t="s">
        <v>342</v>
      </c>
      <c r="H122" t="s">
        <v>181</v>
      </c>
      <c r="I122">
        <v>3</v>
      </c>
      <c r="J122">
        <v>2</v>
      </c>
      <c r="K122" t="s">
        <v>650</v>
      </c>
    </row>
    <row r="123" spans="1:11" x14ac:dyDescent="0.3">
      <c r="A123" s="17" t="s">
        <v>454</v>
      </c>
      <c r="B123" s="16" t="s">
        <v>455</v>
      </c>
      <c r="C123" s="16" t="s">
        <v>456</v>
      </c>
      <c r="D123" s="16" t="s">
        <v>457</v>
      </c>
      <c r="E123" s="16"/>
      <c r="F123" s="16"/>
      <c r="G123" s="16"/>
      <c r="H123" s="16" t="s">
        <v>171</v>
      </c>
      <c r="I123">
        <v>1</v>
      </c>
      <c r="J123">
        <v>1</v>
      </c>
      <c r="K123" t="s">
        <v>650</v>
      </c>
    </row>
    <row r="124" spans="1:11" x14ac:dyDescent="0.3">
      <c r="A124" s="20" t="s">
        <v>459</v>
      </c>
      <c r="B124" s="20" t="s">
        <v>458</v>
      </c>
      <c r="C124" s="20" t="s">
        <v>460</v>
      </c>
      <c r="D124" s="20" t="s">
        <v>461</v>
      </c>
      <c r="E124" s="20"/>
      <c r="F124" s="20"/>
      <c r="G124" s="20"/>
      <c r="H124" s="20" t="s">
        <v>431</v>
      </c>
      <c r="I124">
        <v>1</v>
      </c>
      <c r="J124">
        <v>2</v>
      </c>
      <c r="K124" t="s">
        <v>650</v>
      </c>
    </row>
    <row r="125" spans="1:11" x14ac:dyDescent="0.3">
      <c r="A125" t="s">
        <v>462</v>
      </c>
      <c r="B125" s="1" t="s">
        <v>463</v>
      </c>
      <c r="C125" t="s">
        <v>464</v>
      </c>
      <c r="D125" t="s">
        <v>147</v>
      </c>
      <c r="H125" t="s">
        <v>465</v>
      </c>
      <c r="I125">
        <v>1</v>
      </c>
      <c r="J125">
        <v>3</v>
      </c>
      <c r="K125" t="s">
        <v>650</v>
      </c>
    </row>
    <row r="126" spans="1:11" x14ac:dyDescent="0.3">
      <c r="A126" t="s">
        <v>466</v>
      </c>
      <c r="B126" s="1" t="s">
        <v>467</v>
      </c>
      <c r="C126" t="s">
        <v>468</v>
      </c>
      <c r="D126" t="s">
        <v>78</v>
      </c>
      <c r="E126" t="s">
        <v>450</v>
      </c>
      <c r="F126" t="s">
        <v>662</v>
      </c>
      <c r="H126" t="s">
        <v>469</v>
      </c>
      <c r="I126">
        <v>3</v>
      </c>
      <c r="J126">
        <v>3</v>
      </c>
      <c r="K126" t="s">
        <v>650</v>
      </c>
    </row>
    <row r="127" spans="1:11" x14ac:dyDescent="0.3">
      <c r="A127" t="s">
        <v>471</v>
      </c>
      <c r="B127" s="1" t="s">
        <v>472</v>
      </c>
      <c r="C127" t="s">
        <v>470</v>
      </c>
      <c r="D127" t="s">
        <v>147</v>
      </c>
      <c r="H127" t="s">
        <v>181</v>
      </c>
      <c r="I127">
        <v>1</v>
      </c>
      <c r="J127">
        <v>2</v>
      </c>
      <c r="K127" t="s">
        <v>650</v>
      </c>
    </row>
    <row r="128" spans="1:11" x14ac:dyDescent="0.3">
      <c r="A128" s="20" t="s">
        <v>475</v>
      </c>
      <c r="B128" s="20" t="s">
        <v>474</v>
      </c>
      <c r="C128" s="20" t="s">
        <v>473</v>
      </c>
      <c r="D128" s="20" t="s">
        <v>163</v>
      </c>
      <c r="E128" s="20"/>
      <c r="F128" s="20"/>
      <c r="G128" s="20"/>
      <c r="H128" s="20" t="s">
        <v>162</v>
      </c>
      <c r="I128" s="15">
        <v>1</v>
      </c>
      <c r="J128">
        <v>1</v>
      </c>
      <c r="K128" t="s">
        <v>650</v>
      </c>
    </row>
    <row r="129" spans="1:11" x14ac:dyDescent="0.3">
      <c r="A129" s="20" t="s">
        <v>476</v>
      </c>
      <c r="B129" s="20" t="s">
        <v>477</v>
      </c>
      <c r="C129" s="20" t="s">
        <v>478</v>
      </c>
      <c r="D129" s="20" t="s">
        <v>479</v>
      </c>
      <c r="E129" s="20" t="s">
        <v>480</v>
      </c>
      <c r="F129" s="20"/>
      <c r="G129" s="20"/>
      <c r="H129" s="20" t="s">
        <v>162</v>
      </c>
      <c r="I129">
        <v>2</v>
      </c>
      <c r="J129">
        <v>1</v>
      </c>
      <c r="K129" t="s">
        <v>649</v>
      </c>
    </row>
    <row r="130" spans="1:11" x14ac:dyDescent="0.3">
      <c r="A130" s="20" t="s">
        <v>481</v>
      </c>
      <c r="B130" s="20" t="s">
        <v>482</v>
      </c>
      <c r="C130" s="20" t="s">
        <v>483</v>
      </c>
      <c r="D130" s="20" t="s">
        <v>689</v>
      </c>
      <c r="E130" s="20"/>
      <c r="F130" s="20"/>
      <c r="G130" s="20"/>
      <c r="H130" s="20" t="s">
        <v>431</v>
      </c>
      <c r="I130">
        <v>1</v>
      </c>
      <c r="J130">
        <v>2</v>
      </c>
      <c r="K130" t="s">
        <v>650</v>
      </c>
    </row>
    <row r="131" spans="1:11" x14ac:dyDescent="0.3">
      <c r="A131" s="22" t="s">
        <v>452</v>
      </c>
      <c r="B131" s="20" t="s">
        <v>451</v>
      </c>
      <c r="C131" s="20" t="s">
        <v>453</v>
      </c>
      <c r="D131" s="20" t="s">
        <v>189</v>
      </c>
      <c r="E131" s="20"/>
      <c r="F131" s="20"/>
      <c r="G131" s="20"/>
      <c r="H131" s="20" t="s">
        <v>162</v>
      </c>
      <c r="I131">
        <v>1</v>
      </c>
      <c r="J131">
        <v>1</v>
      </c>
      <c r="K131" t="s">
        <v>650</v>
      </c>
    </row>
    <row r="132" spans="1:11" x14ac:dyDescent="0.3">
      <c r="A132" t="s">
        <v>484</v>
      </c>
      <c r="B132" s="1" t="s">
        <v>485</v>
      </c>
      <c r="C132" t="s">
        <v>486</v>
      </c>
      <c r="D132" t="s">
        <v>78</v>
      </c>
      <c r="E132" t="s">
        <v>164</v>
      </c>
      <c r="F132" t="s">
        <v>487</v>
      </c>
      <c r="H132" t="s">
        <v>488</v>
      </c>
      <c r="I132">
        <v>3</v>
      </c>
      <c r="J132">
        <v>3</v>
      </c>
      <c r="K132" t="s">
        <v>650</v>
      </c>
    </row>
    <row r="133" spans="1:11" x14ac:dyDescent="0.3">
      <c r="A133" s="16" t="s">
        <v>489</v>
      </c>
      <c r="B133" s="16" t="s">
        <v>490</v>
      </c>
      <c r="C133" s="16" t="s">
        <v>491</v>
      </c>
      <c r="D133" s="16" t="s">
        <v>461</v>
      </c>
      <c r="E133" s="16" t="s">
        <v>313</v>
      </c>
      <c r="F133" s="16" t="s">
        <v>492</v>
      </c>
      <c r="G133" s="16" t="s">
        <v>457</v>
      </c>
      <c r="H133" s="16" t="s">
        <v>493</v>
      </c>
      <c r="I133">
        <v>4</v>
      </c>
      <c r="J133">
        <v>2</v>
      </c>
      <c r="K133" t="s">
        <v>650</v>
      </c>
    </row>
    <row r="134" spans="1:11" x14ac:dyDescent="0.3">
      <c r="A134" t="s">
        <v>494</v>
      </c>
      <c r="B134" s="1" t="s">
        <v>495</v>
      </c>
      <c r="C134" t="s">
        <v>496</v>
      </c>
      <c r="D134" t="s">
        <v>461</v>
      </c>
      <c r="H134" t="s">
        <v>493</v>
      </c>
      <c r="I134">
        <v>1</v>
      </c>
      <c r="J134">
        <v>2</v>
      </c>
      <c r="K134" t="s">
        <v>650</v>
      </c>
    </row>
    <row r="135" spans="1:11" x14ac:dyDescent="0.3">
      <c r="A135" s="20" t="s">
        <v>497</v>
      </c>
      <c r="B135" s="20" t="s">
        <v>498</v>
      </c>
      <c r="C135" s="20" t="s">
        <v>690</v>
      </c>
      <c r="D135" s="20" t="s">
        <v>147</v>
      </c>
      <c r="E135" s="20"/>
      <c r="F135" s="20"/>
      <c r="G135" s="20"/>
      <c r="H135" s="20" t="s">
        <v>691</v>
      </c>
      <c r="I135" s="15"/>
      <c r="J135" s="15"/>
      <c r="K135" s="15" t="s">
        <v>650</v>
      </c>
    </row>
    <row r="136" spans="1:11" x14ac:dyDescent="0.3">
      <c r="A136" t="s">
        <v>499</v>
      </c>
      <c r="B136" s="1" t="s">
        <v>500</v>
      </c>
      <c r="C136" t="s">
        <v>501</v>
      </c>
      <c r="D136" t="s">
        <v>662</v>
      </c>
      <c r="H136" t="s">
        <v>160</v>
      </c>
      <c r="I136">
        <v>1</v>
      </c>
      <c r="J136">
        <v>2</v>
      </c>
      <c r="K136" t="s">
        <v>650</v>
      </c>
    </row>
    <row r="137" spans="1:11" x14ac:dyDescent="0.3">
      <c r="A137" t="s">
        <v>502</v>
      </c>
      <c r="B137" s="1" t="s">
        <v>503</v>
      </c>
      <c r="C137" t="s">
        <v>504</v>
      </c>
      <c r="D137" t="s">
        <v>505</v>
      </c>
      <c r="E137" t="s">
        <v>86</v>
      </c>
      <c r="H137" t="s">
        <v>171</v>
      </c>
      <c r="I137">
        <v>2</v>
      </c>
      <c r="J137">
        <v>1</v>
      </c>
      <c r="K137" t="s">
        <v>650</v>
      </c>
    </row>
    <row r="138" spans="1:11" x14ac:dyDescent="0.3">
      <c r="A138" t="s">
        <v>506</v>
      </c>
      <c r="B138" s="1" t="s">
        <v>507</v>
      </c>
      <c r="C138" t="s">
        <v>663</v>
      </c>
      <c r="D138" t="s">
        <v>508</v>
      </c>
      <c r="E138" t="s">
        <v>509</v>
      </c>
      <c r="H138" t="s">
        <v>182</v>
      </c>
      <c r="I138">
        <v>2</v>
      </c>
      <c r="J138">
        <v>2</v>
      </c>
      <c r="K138" t="s">
        <v>650</v>
      </c>
    </row>
    <row r="139" spans="1:11" x14ac:dyDescent="0.3">
      <c r="A139" s="16" t="s">
        <v>510</v>
      </c>
      <c r="B139" s="16" t="s">
        <v>511</v>
      </c>
      <c r="C139" s="16" t="s">
        <v>512</v>
      </c>
      <c r="D139" s="16" t="s">
        <v>170</v>
      </c>
      <c r="E139" s="16" t="s">
        <v>461</v>
      </c>
      <c r="F139" s="16" t="s">
        <v>514</v>
      </c>
      <c r="G139" s="16"/>
      <c r="H139" s="16" t="s">
        <v>513</v>
      </c>
      <c r="I139" s="16">
        <v>3</v>
      </c>
      <c r="J139" s="16">
        <v>3</v>
      </c>
      <c r="K139" s="16" t="s">
        <v>650</v>
      </c>
    </row>
    <row r="140" spans="1:11" x14ac:dyDescent="0.3">
      <c r="A140" s="16" t="s">
        <v>516</v>
      </c>
      <c r="B140" s="16" t="s">
        <v>517</v>
      </c>
      <c r="C140" s="16" t="s">
        <v>518</v>
      </c>
      <c r="D140" s="16" t="s">
        <v>246</v>
      </c>
      <c r="E140" s="16" t="s">
        <v>515</v>
      </c>
      <c r="F140" s="16" t="s">
        <v>519</v>
      </c>
      <c r="G140" s="16" t="s">
        <v>642</v>
      </c>
      <c r="H140" s="16" t="s">
        <v>431</v>
      </c>
      <c r="I140" s="16">
        <v>5</v>
      </c>
      <c r="J140" s="16">
        <v>2</v>
      </c>
      <c r="K140" s="16" t="s">
        <v>650</v>
      </c>
    </row>
    <row r="141" spans="1:11" x14ac:dyDescent="0.3">
      <c r="A141" s="8" t="s">
        <v>520</v>
      </c>
      <c r="B141" s="8" t="s">
        <v>521</v>
      </c>
      <c r="C141" s="8" t="s">
        <v>522</v>
      </c>
      <c r="D141" s="8" t="s">
        <v>147</v>
      </c>
      <c r="E141" s="8" t="s">
        <v>406</v>
      </c>
      <c r="F141" s="8"/>
      <c r="G141" s="8"/>
      <c r="H141" s="8" t="s">
        <v>431</v>
      </c>
      <c r="I141" s="8">
        <v>2</v>
      </c>
      <c r="J141" s="8">
        <v>2</v>
      </c>
      <c r="K141" s="8"/>
    </row>
    <row r="142" spans="1:11" x14ac:dyDescent="0.3">
      <c r="A142" s="20" t="s">
        <v>523</v>
      </c>
      <c r="B142" s="20" t="s">
        <v>524</v>
      </c>
      <c r="C142" s="20" t="s">
        <v>525</v>
      </c>
      <c r="D142" s="20" t="s">
        <v>147</v>
      </c>
      <c r="E142" s="20"/>
      <c r="F142" s="20"/>
      <c r="G142" s="20"/>
      <c r="H142" s="20" t="s">
        <v>692</v>
      </c>
      <c r="I142">
        <v>1</v>
      </c>
      <c r="J142">
        <v>2</v>
      </c>
      <c r="K142" t="s">
        <v>650</v>
      </c>
    </row>
    <row r="143" spans="1:11" x14ac:dyDescent="0.3">
      <c r="A143" t="s">
        <v>526</v>
      </c>
      <c r="B143" s="1" t="s">
        <v>527</v>
      </c>
      <c r="D143" t="s">
        <v>313</v>
      </c>
      <c r="E143" t="s">
        <v>81</v>
      </c>
      <c r="H143" t="s">
        <v>431</v>
      </c>
      <c r="I143">
        <v>2</v>
      </c>
      <c r="J143">
        <v>2</v>
      </c>
      <c r="K143" t="s">
        <v>650</v>
      </c>
    </row>
    <row r="144" spans="1:11" x14ac:dyDescent="0.3">
      <c r="A144" s="16" t="s">
        <v>529</v>
      </c>
      <c r="B144" s="16" t="s">
        <v>530</v>
      </c>
      <c r="C144" s="16" t="s">
        <v>528</v>
      </c>
      <c r="D144" s="16" t="s">
        <v>157</v>
      </c>
      <c r="E144" s="16" t="s">
        <v>515</v>
      </c>
      <c r="F144" s="16" t="s">
        <v>531</v>
      </c>
      <c r="G144" s="16"/>
      <c r="H144" s="16" t="s">
        <v>304</v>
      </c>
      <c r="I144" s="16">
        <v>3</v>
      </c>
      <c r="J144" s="16">
        <v>2</v>
      </c>
      <c r="K144" s="16" t="s">
        <v>650</v>
      </c>
    </row>
    <row r="145" spans="1:11" x14ac:dyDescent="0.3">
      <c r="A145" t="s">
        <v>532</v>
      </c>
      <c r="B145" s="1" t="s">
        <v>534</v>
      </c>
      <c r="C145" t="s">
        <v>535</v>
      </c>
      <c r="D145" t="s">
        <v>515</v>
      </c>
      <c r="E145" t="s">
        <v>533</v>
      </c>
      <c r="H145" t="s">
        <v>436</v>
      </c>
      <c r="I145">
        <v>2</v>
      </c>
      <c r="J145">
        <v>2</v>
      </c>
      <c r="K145" t="s">
        <v>649</v>
      </c>
    </row>
    <row r="146" spans="1:11" x14ac:dyDescent="0.3">
      <c r="A146" s="20" t="s">
        <v>536</v>
      </c>
      <c r="B146" s="20" t="s">
        <v>537</v>
      </c>
      <c r="C146" s="20" t="s">
        <v>693</v>
      </c>
      <c r="D146" s="20" t="s">
        <v>538</v>
      </c>
      <c r="E146" s="20"/>
      <c r="F146" s="20"/>
      <c r="G146" s="20"/>
      <c r="H146" s="20" t="s">
        <v>162</v>
      </c>
      <c r="I146">
        <v>1</v>
      </c>
      <c r="J146">
        <v>1</v>
      </c>
      <c r="K146" t="s">
        <v>649</v>
      </c>
    </row>
    <row r="147" spans="1:11" x14ac:dyDescent="0.3">
      <c r="A147" s="16" t="s">
        <v>539</v>
      </c>
      <c r="B147" s="18" t="s">
        <v>541</v>
      </c>
      <c r="C147" s="16" t="s">
        <v>540</v>
      </c>
      <c r="D147" s="16" t="s">
        <v>246</v>
      </c>
      <c r="E147" s="16"/>
      <c r="F147" s="16"/>
      <c r="G147" s="16"/>
      <c r="H147" s="16" t="s">
        <v>162</v>
      </c>
      <c r="I147" s="16">
        <v>1</v>
      </c>
      <c r="J147" s="16">
        <v>1</v>
      </c>
      <c r="K147" s="16"/>
    </row>
    <row r="148" spans="1:11" x14ac:dyDescent="0.3">
      <c r="A148" t="s">
        <v>542</v>
      </c>
      <c r="B148" s="1" t="s">
        <v>543</v>
      </c>
      <c r="C148" t="s">
        <v>544</v>
      </c>
      <c r="D148" t="s">
        <v>164</v>
      </c>
      <c r="E148" t="s">
        <v>545</v>
      </c>
      <c r="H148" t="s">
        <v>441</v>
      </c>
      <c r="I148">
        <v>2</v>
      </c>
      <c r="J148">
        <v>2</v>
      </c>
      <c r="K148" t="s">
        <v>650</v>
      </c>
    </row>
    <row r="149" spans="1:11" x14ac:dyDescent="0.3">
      <c r="A149" t="s">
        <v>548</v>
      </c>
      <c r="B149" s="1" t="s">
        <v>546</v>
      </c>
      <c r="C149" t="s">
        <v>547</v>
      </c>
      <c r="D149" t="s">
        <v>549</v>
      </c>
      <c r="H149" t="s">
        <v>162</v>
      </c>
      <c r="I149">
        <v>1</v>
      </c>
      <c r="J149">
        <v>1</v>
      </c>
      <c r="K149" t="s">
        <v>650</v>
      </c>
    </row>
    <row r="150" spans="1:11" x14ac:dyDescent="0.3">
      <c r="A150" t="s">
        <v>550</v>
      </c>
      <c r="B150" s="1" t="s">
        <v>551</v>
      </c>
      <c r="C150" t="s">
        <v>552</v>
      </c>
      <c r="D150" t="s">
        <v>147</v>
      </c>
      <c r="E150" t="s">
        <v>553</v>
      </c>
      <c r="H150" t="s">
        <v>162</v>
      </c>
      <c r="I150">
        <v>2</v>
      </c>
      <c r="J150">
        <v>1</v>
      </c>
      <c r="K150" t="s">
        <v>650</v>
      </c>
    </row>
    <row r="151" spans="1:11" x14ac:dyDescent="0.3">
      <c r="A151" s="16" t="s">
        <v>555</v>
      </c>
      <c r="B151" s="16" t="s">
        <v>554</v>
      </c>
      <c r="C151" s="16" t="s">
        <v>556</v>
      </c>
      <c r="D151" s="16" t="s">
        <v>557</v>
      </c>
      <c r="E151" s="16" t="s">
        <v>78</v>
      </c>
      <c r="F151" s="16" t="s">
        <v>558</v>
      </c>
      <c r="G151" s="16" t="s">
        <v>559</v>
      </c>
      <c r="H151" s="16" t="s">
        <v>560</v>
      </c>
      <c r="I151" s="16">
        <v>4</v>
      </c>
      <c r="J151" s="16">
        <v>3</v>
      </c>
      <c r="K151" s="16" t="s">
        <v>650</v>
      </c>
    </row>
    <row r="152" spans="1:11" x14ac:dyDescent="0.3">
      <c r="A152" s="8" t="s">
        <v>561</v>
      </c>
      <c r="B152" s="8" t="s">
        <v>562</v>
      </c>
      <c r="C152" s="8" t="s">
        <v>563</v>
      </c>
      <c r="D152" s="8" t="s">
        <v>564</v>
      </c>
      <c r="E152" s="8"/>
      <c r="F152" s="8"/>
      <c r="G152" s="8"/>
      <c r="H152" s="8" t="s">
        <v>565</v>
      </c>
      <c r="I152" s="8">
        <v>1</v>
      </c>
      <c r="J152" s="8">
        <v>2</v>
      </c>
      <c r="K152" s="8"/>
    </row>
    <row r="153" spans="1:11" x14ac:dyDescent="0.3">
      <c r="A153" s="16" t="s">
        <v>566</v>
      </c>
      <c r="B153" s="16" t="s">
        <v>567</v>
      </c>
      <c r="C153" s="16" t="s">
        <v>568</v>
      </c>
      <c r="D153" s="16" t="s">
        <v>147</v>
      </c>
      <c r="E153" s="16" t="s">
        <v>569</v>
      </c>
      <c r="F153" s="16"/>
      <c r="G153" s="16"/>
      <c r="H153" s="16" t="s">
        <v>431</v>
      </c>
      <c r="I153" s="16">
        <v>2</v>
      </c>
      <c r="J153" s="16">
        <v>2</v>
      </c>
      <c r="K153" s="16" t="s">
        <v>649</v>
      </c>
    </row>
    <row r="154" spans="1:11" x14ac:dyDescent="0.3">
      <c r="A154" s="16" t="s">
        <v>571</v>
      </c>
      <c r="B154" s="16" t="s">
        <v>570</v>
      </c>
      <c r="C154" s="16" t="s">
        <v>572</v>
      </c>
      <c r="D154" s="16" t="s">
        <v>78</v>
      </c>
      <c r="E154" s="16" t="s">
        <v>573</v>
      </c>
      <c r="F154" s="16" t="s">
        <v>557</v>
      </c>
      <c r="G154" s="16" t="s">
        <v>147</v>
      </c>
      <c r="H154" s="16" t="s">
        <v>513</v>
      </c>
      <c r="I154" s="16">
        <v>4</v>
      </c>
      <c r="J154" s="16">
        <v>3</v>
      </c>
      <c r="K154" s="16" t="s">
        <v>650</v>
      </c>
    </row>
    <row r="155" spans="1:11" x14ac:dyDescent="0.3">
      <c r="A155" s="16" t="s">
        <v>574</v>
      </c>
      <c r="B155" s="16" t="s">
        <v>575</v>
      </c>
      <c r="C155" s="16" t="s">
        <v>577</v>
      </c>
      <c r="D155" s="16" t="s">
        <v>164</v>
      </c>
      <c r="E155" s="16" t="s">
        <v>662</v>
      </c>
      <c r="F155" s="16"/>
      <c r="G155" s="16"/>
      <c r="H155" s="16" t="s">
        <v>578</v>
      </c>
      <c r="I155" s="16">
        <v>2</v>
      </c>
      <c r="J155" s="16">
        <v>2</v>
      </c>
      <c r="K155" s="16" t="s">
        <v>650</v>
      </c>
    </row>
    <row r="156" spans="1:11" x14ac:dyDescent="0.3">
      <c r="A156" s="16" t="s">
        <v>579</v>
      </c>
      <c r="B156" s="16" t="s">
        <v>580</v>
      </c>
      <c r="C156" s="16" t="s">
        <v>581</v>
      </c>
      <c r="D156" s="16" t="s">
        <v>461</v>
      </c>
      <c r="E156" s="16" t="s">
        <v>406</v>
      </c>
      <c r="F156" s="16" t="s">
        <v>147</v>
      </c>
      <c r="G156" s="16" t="s">
        <v>582</v>
      </c>
      <c r="H156" s="16" t="s">
        <v>583</v>
      </c>
      <c r="I156" s="16">
        <v>4</v>
      </c>
      <c r="J156" s="16">
        <v>3</v>
      </c>
      <c r="K156" s="16" t="s">
        <v>650</v>
      </c>
    </row>
    <row r="157" spans="1:11" x14ac:dyDescent="0.3">
      <c r="A157" s="16" t="s">
        <v>584</v>
      </c>
      <c r="B157" s="16" t="s">
        <v>585</v>
      </c>
      <c r="C157" s="16" t="s">
        <v>586</v>
      </c>
      <c r="D157" s="16" t="s">
        <v>461</v>
      </c>
      <c r="E157" s="16" t="s">
        <v>576</v>
      </c>
      <c r="F157" s="16" t="s">
        <v>588</v>
      </c>
      <c r="G157" s="16" t="s">
        <v>147</v>
      </c>
      <c r="H157" s="16" t="s">
        <v>587</v>
      </c>
      <c r="I157" s="16">
        <v>4</v>
      </c>
      <c r="J157" s="16">
        <v>3</v>
      </c>
      <c r="K157" s="16" t="s">
        <v>650</v>
      </c>
    </row>
    <row r="158" spans="1:11" x14ac:dyDescent="0.3">
      <c r="A158" s="20" t="s">
        <v>589</v>
      </c>
      <c r="B158" s="20" t="s">
        <v>590</v>
      </c>
      <c r="C158" s="20" t="s">
        <v>591</v>
      </c>
      <c r="D158" s="20" t="s">
        <v>147</v>
      </c>
      <c r="E158" s="20" t="s">
        <v>592</v>
      </c>
      <c r="F158" s="20"/>
      <c r="G158" s="20"/>
      <c r="H158" s="20" t="s">
        <v>593</v>
      </c>
      <c r="I158">
        <v>3</v>
      </c>
      <c r="J158">
        <v>2</v>
      </c>
      <c r="K158" t="s">
        <v>649</v>
      </c>
    </row>
    <row r="159" spans="1:11" x14ac:dyDescent="0.3">
      <c r="A159" t="s">
        <v>594</v>
      </c>
      <c r="B159" s="1" t="s">
        <v>595</v>
      </c>
      <c r="C159" t="s">
        <v>596</v>
      </c>
      <c r="D159" t="s">
        <v>81</v>
      </c>
      <c r="H159" t="s">
        <v>431</v>
      </c>
      <c r="I159">
        <v>1</v>
      </c>
      <c r="J159">
        <v>2</v>
      </c>
      <c r="K159" t="s">
        <v>649</v>
      </c>
    </row>
    <row r="160" spans="1:11" x14ac:dyDescent="0.3">
      <c r="A160" s="10" t="s">
        <v>597</v>
      </c>
      <c r="B160" s="10" t="s">
        <v>598</v>
      </c>
      <c r="C160" s="10" t="s">
        <v>599</v>
      </c>
      <c r="D160" s="10" t="s">
        <v>694</v>
      </c>
      <c r="E160" s="10"/>
      <c r="F160" s="10"/>
      <c r="G160" s="10"/>
      <c r="H160" s="10"/>
      <c r="I160" s="10"/>
      <c r="J160" s="10"/>
      <c r="K160" s="10"/>
    </row>
    <row r="161" spans="1:11" x14ac:dyDescent="0.3">
      <c r="A161" s="10" t="s">
        <v>600</v>
      </c>
      <c r="B161" s="10" t="s">
        <v>601</v>
      </c>
      <c r="C161" s="10" t="s">
        <v>602</v>
      </c>
      <c r="D161" s="10" t="s">
        <v>603</v>
      </c>
      <c r="E161" s="10"/>
      <c r="F161" s="10"/>
      <c r="G161" s="10"/>
      <c r="H161" s="10"/>
      <c r="I161" s="10"/>
      <c r="J161" s="10"/>
      <c r="K161" s="10"/>
    </row>
    <row r="162" spans="1:11" x14ac:dyDescent="0.3">
      <c r="A162" s="16" t="s">
        <v>604</v>
      </c>
      <c r="B162" s="16" t="s">
        <v>605</v>
      </c>
      <c r="C162" s="16" t="s">
        <v>606</v>
      </c>
      <c r="D162" s="16" t="s">
        <v>607</v>
      </c>
      <c r="E162" s="16" t="s">
        <v>78</v>
      </c>
      <c r="F162" s="16" t="s">
        <v>147</v>
      </c>
      <c r="G162" s="16"/>
      <c r="H162" s="16" t="s">
        <v>608</v>
      </c>
      <c r="I162">
        <v>3</v>
      </c>
      <c r="J162">
        <v>3</v>
      </c>
      <c r="K162" t="s">
        <v>650</v>
      </c>
    </row>
    <row r="163" spans="1:11" x14ac:dyDescent="0.3">
      <c r="A163" s="20" t="s">
        <v>609</v>
      </c>
      <c r="B163" s="20" t="s">
        <v>610</v>
      </c>
      <c r="C163" s="20" t="s">
        <v>611</v>
      </c>
      <c r="D163" s="20" t="s">
        <v>147</v>
      </c>
      <c r="E163" s="20"/>
      <c r="F163" s="20"/>
      <c r="G163" s="20"/>
      <c r="H163" s="20" t="s">
        <v>181</v>
      </c>
      <c r="I163">
        <v>1</v>
      </c>
      <c r="J163">
        <v>1</v>
      </c>
      <c r="K163" t="s">
        <v>650</v>
      </c>
    </row>
    <row r="164" spans="1:11" x14ac:dyDescent="0.3">
      <c r="A164" s="8" t="s">
        <v>614</v>
      </c>
      <c r="B164" s="8" t="s">
        <v>612</v>
      </c>
      <c r="C164" s="8" t="s">
        <v>613</v>
      </c>
      <c r="D164" s="8" t="s">
        <v>247</v>
      </c>
      <c r="E164" s="8"/>
      <c r="F164" s="8"/>
      <c r="G164" s="8"/>
      <c r="H164" s="8"/>
      <c r="I164" s="8">
        <v>1</v>
      </c>
      <c r="J164" s="8"/>
      <c r="K164" s="8" t="s">
        <v>649</v>
      </c>
    </row>
    <row r="165" spans="1:11" x14ac:dyDescent="0.3">
      <c r="A165" s="20" t="s">
        <v>615</v>
      </c>
      <c r="B165" s="20" t="s">
        <v>616</v>
      </c>
      <c r="C165" s="20" t="s">
        <v>617</v>
      </c>
      <c r="D165" s="20" t="s">
        <v>142</v>
      </c>
      <c r="E165" s="20" t="s">
        <v>695</v>
      </c>
      <c r="F165" s="20"/>
      <c r="G165" s="20"/>
      <c r="H165" s="20" t="s">
        <v>171</v>
      </c>
      <c r="I165">
        <v>2</v>
      </c>
      <c r="J165">
        <v>1</v>
      </c>
      <c r="K165" t="s">
        <v>650</v>
      </c>
    </row>
    <row r="166" spans="1:11" x14ac:dyDescent="0.3">
      <c r="A166" t="s">
        <v>618</v>
      </c>
      <c r="B166" s="1" t="s">
        <v>619</v>
      </c>
      <c r="C166" t="s">
        <v>620</v>
      </c>
      <c r="D166" t="s">
        <v>621</v>
      </c>
      <c r="E166" t="s">
        <v>622</v>
      </c>
      <c r="H166" t="s">
        <v>623</v>
      </c>
      <c r="I166">
        <v>2</v>
      </c>
      <c r="J166">
        <v>2</v>
      </c>
      <c r="K166" t="s">
        <v>650</v>
      </c>
    </row>
    <row r="167" spans="1:11" x14ac:dyDescent="0.3">
      <c r="A167" t="s">
        <v>625</v>
      </c>
      <c r="B167" s="1" t="s">
        <v>626</v>
      </c>
      <c r="C167" t="s">
        <v>624</v>
      </c>
      <c r="D167" t="s">
        <v>147</v>
      </c>
      <c r="H167" t="s">
        <v>175</v>
      </c>
      <c r="I167">
        <v>1</v>
      </c>
      <c r="J167">
        <v>2</v>
      </c>
      <c r="K167" t="s">
        <v>650</v>
      </c>
    </row>
    <row r="168" spans="1:11" x14ac:dyDescent="0.3">
      <c r="A168" t="s">
        <v>628</v>
      </c>
      <c r="B168" s="1" t="s">
        <v>629</v>
      </c>
      <c r="C168" t="s">
        <v>630</v>
      </c>
      <c r="D168" t="s">
        <v>147</v>
      </c>
      <c r="E168" t="s">
        <v>627</v>
      </c>
      <c r="H168" t="s">
        <v>441</v>
      </c>
      <c r="I168">
        <v>2</v>
      </c>
      <c r="J168">
        <v>2</v>
      </c>
      <c r="K168" t="s">
        <v>650</v>
      </c>
    </row>
    <row r="169" spans="1:11" x14ac:dyDescent="0.3">
      <c r="A169" t="s">
        <v>632</v>
      </c>
      <c r="B169" t="s">
        <v>633</v>
      </c>
      <c r="C169" t="s">
        <v>631</v>
      </c>
      <c r="D169" t="s">
        <v>294</v>
      </c>
      <c r="H169" t="s">
        <v>159</v>
      </c>
      <c r="I169">
        <v>1</v>
      </c>
      <c r="J169">
        <v>1</v>
      </c>
      <c r="K169" t="s">
        <v>650</v>
      </c>
    </row>
    <row r="170" spans="1:11" x14ac:dyDescent="0.3">
      <c r="A170" t="s">
        <v>634</v>
      </c>
      <c r="B170" t="s">
        <v>635</v>
      </c>
      <c r="C170" t="s">
        <v>636</v>
      </c>
      <c r="D170" t="s">
        <v>637</v>
      </c>
      <c r="I170">
        <v>1</v>
      </c>
      <c r="K170" t="s">
        <v>649</v>
      </c>
    </row>
    <row r="171" spans="1:11" x14ac:dyDescent="0.3">
      <c r="A171" s="16" t="s">
        <v>644</v>
      </c>
      <c r="B171" s="16" t="s">
        <v>645</v>
      </c>
      <c r="C171" s="16" t="s">
        <v>646</v>
      </c>
      <c r="D171" s="16" t="s">
        <v>164</v>
      </c>
      <c r="E171" s="16"/>
      <c r="F171" s="16"/>
      <c r="G171" s="16"/>
      <c r="H171" s="16" t="s">
        <v>647</v>
      </c>
      <c r="I171" s="16">
        <v>1</v>
      </c>
      <c r="J171" s="16">
        <v>3</v>
      </c>
      <c r="K171" s="16" t="s">
        <v>650</v>
      </c>
    </row>
    <row r="172" spans="1:11" x14ac:dyDescent="0.3">
      <c r="A172" s="23" t="s">
        <v>696</v>
      </c>
      <c r="B172" s="25" t="s">
        <v>697</v>
      </c>
      <c r="C172" s="23" t="s">
        <v>698</v>
      </c>
      <c r="D172" s="23" t="s">
        <v>461</v>
      </c>
      <c r="E172" s="23"/>
      <c r="F172" s="23"/>
      <c r="G172" s="23"/>
      <c r="H172" s="23" t="s">
        <v>493</v>
      </c>
      <c r="I172" s="23">
        <v>1</v>
      </c>
      <c r="J172" s="23">
        <v>2</v>
      </c>
      <c r="K172" s="23" t="s">
        <v>650</v>
      </c>
    </row>
    <row r="173" spans="1:11" x14ac:dyDescent="0.3">
      <c r="A173" t="s">
        <v>699</v>
      </c>
      <c r="B173" s="1" t="s">
        <v>700</v>
      </c>
      <c r="C173" t="s">
        <v>701</v>
      </c>
      <c r="D173" t="s">
        <v>294</v>
      </c>
      <c r="E173" t="s">
        <v>164</v>
      </c>
      <c r="H173" t="s">
        <v>578</v>
      </c>
      <c r="I173">
        <v>2</v>
      </c>
      <c r="J173">
        <v>2</v>
      </c>
      <c r="K173" t="s">
        <v>650</v>
      </c>
    </row>
    <row r="174" spans="1:11" x14ac:dyDescent="0.3">
      <c r="A174" t="s">
        <v>702</v>
      </c>
      <c r="B174" s="1" t="s">
        <v>703</v>
      </c>
      <c r="C174" t="s">
        <v>704</v>
      </c>
      <c r="D174" t="s">
        <v>294</v>
      </c>
      <c r="E174" t="s">
        <v>164</v>
      </c>
      <c r="H174" t="s">
        <v>578</v>
      </c>
      <c r="I174">
        <v>2</v>
      </c>
      <c r="J174">
        <v>2</v>
      </c>
      <c r="K174" t="s">
        <v>650</v>
      </c>
    </row>
    <row r="175" spans="1:11" x14ac:dyDescent="0.3">
      <c r="A175" t="s">
        <v>706</v>
      </c>
      <c r="B175" s="1" t="s">
        <v>707</v>
      </c>
      <c r="C175" t="s">
        <v>708</v>
      </c>
      <c r="D175" t="s">
        <v>461</v>
      </c>
      <c r="H175" t="s">
        <v>493</v>
      </c>
      <c r="I175">
        <v>1</v>
      </c>
      <c r="J175">
        <v>2</v>
      </c>
      <c r="K175" t="s">
        <v>650</v>
      </c>
    </row>
    <row r="176" spans="1:11" x14ac:dyDescent="0.3">
      <c r="A176" t="s">
        <v>709</v>
      </c>
      <c r="B176" s="1" t="s">
        <v>712</v>
      </c>
      <c r="C176" t="s">
        <v>713</v>
      </c>
      <c r="D176" t="s">
        <v>147</v>
      </c>
      <c r="E176" t="s">
        <v>710</v>
      </c>
      <c r="F176" t="s">
        <v>711</v>
      </c>
      <c r="H176" t="s">
        <v>175</v>
      </c>
      <c r="I176">
        <v>3</v>
      </c>
      <c r="J176">
        <v>2</v>
      </c>
      <c r="K176" t="s">
        <v>650</v>
      </c>
    </row>
    <row r="177" spans="1:11" x14ac:dyDescent="0.3">
      <c r="A177" t="s">
        <v>714</v>
      </c>
      <c r="B177" s="1" t="s">
        <v>716</v>
      </c>
      <c r="C177" t="s">
        <v>717</v>
      </c>
      <c r="D177" t="s">
        <v>705</v>
      </c>
      <c r="H177" t="s">
        <v>715</v>
      </c>
      <c r="I177">
        <v>1</v>
      </c>
      <c r="J177">
        <v>1</v>
      </c>
      <c r="K177" t="s">
        <v>650</v>
      </c>
    </row>
    <row r="178" spans="1:11" x14ac:dyDescent="0.3">
      <c r="A178" t="s">
        <v>718</v>
      </c>
      <c r="B178" s="1" t="s">
        <v>719</v>
      </c>
      <c r="C178" t="s">
        <v>721</v>
      </c>
      <c r="D178" t="s">
        <v>142</v>
      </c>
      <c r="E178" t="s">
        <v>720</v>
      </c>
      <c r="H178" t="s">
        <v>723</v>
      </c>
      <c r="I178">
        <v>2</v>
      </c>
      <c r="J178">
        <v>3</v>
      </c>
      <c r="K178" t="s">
        <v>649</v>
      </c>
    </row>
    <row r="179" spans="1:11" x14ac:dyDescent="0.3">
      <c r="A179" t="s">
        <v>722</v>
      </c>
      <c r="B179" s="1" t="s">
        <v>724</v>
      </c>
      <c r="C179" t="s">
        <v>725</v>
      </c>
      <c r="D179" t="s">
        <v>142</v>
      </c>
      <c r="H179" t="s">
        <v>160</v>
      </c>
      <c r="I179">
        <v>1</v>
      </c>
      <c r="J179">
        <v>2</v>
      </c>
      <c r="K179" t="s">
        <v>649</v>
      </c>
    </row>
  </sheetData>
  <hyperlinks>
    <hyperlink ref="B2" r:id="rId1" xr:uid="{808E3BED-CDD1-4920-B882-EEEB356D3104}"/>
    <hyperlink ref="B3" r:id="rId2" xr:uid="{D378D505-7826-4FC6-89FE-510CCB4A75F4}"/>
    <hyperlink ref="B4" r:id="rId3" display="https://github.com/digitalocean/langchain-gradient/commit/046e2e9a156798be98b05d351defefdf3df07928" xr:uid="{40DE37A4-C3A3-4164-A8C7-E646C3243DCD}"/>
    <hyperlink ref="B5" r:id="rId4" xr:uid="{5185141C-0A30-43C9-95A7-CA8D7473449E}"/>
    <hyperlink ref="B6" r:id="rId5" xr:uid="{9C3FAEDE-3596-42E7-B64C-032C1A92A3F0}"/>
    <hyperlink ref="B7" r:id="rId6" xr:uid="{F6E26081-CEDB-44D4-95A9-90A065DD2650}"/>
    <hyperlink ref="B8" r:id="rId7" xr:uid="{BD060A5F-6FA9-4113-B901-35E9E3700F09}"/>
    <hyperlink ref="B9" r:id="rId8" xr:uid="{041D60C7-9012-4C10-8D9C-3C56BC8E8407}"/>
    <hyperlink ref="B10" r:id="rId9" location="diff-b5db45625e4c49352fa48a2b52c3896512fe36e206e0c536647a1e8d2901e313" xr:uid="{986AC900-342B-4634-8710-208776B22307}"/>
    <hyperlink ref="B11" r:id="rId10" xr:uid="{A74BD8BE-4FD6-4C02-B7FA-9EA170B1D950}"/>
    <hyperlink ref="B12" r:id="rId11" xr:uid="{9E05060E-5456-4885-962C-C4B976AB49B3}"/>
    <hyperlink ref="B13" r:id="rId12" display="https://github.com/arterm-sedov/cmw-platform-agent/commit/3552ac1d79779863375d794a7426e9c707fec6b3" xr:uid="{EA04D27C-16F1-4279-AAF2-7CF5D803794B}"/>
    <hyperlink ref="B14" r:id="rId13" xr:uid="{982D24E4-C2B9-45B4-B636-3CDCC8F90347}"/>
    <hyperlink ref="B15" r:id="rId14" display="https://github.com/GuangfengHe/calendar-agent-be/commit/05f5afef97aa9c38aa2f42c7b518df3874ad7898" xr:uid="{29FCFA0D-8972-493B-8CF2-888CAA7BDFD0}"/>
    <hyperlink ref="B16" r:id="rId15" xr:uid="{261E6E26-0691-4C06-B3E6-3E7338520CCC}"/>
    <hyperlink ref="B17" r:id="rId16" display="https://github.com/fenrick/agentic-demo/commit/b0f5724e233dc25f48d10cd4e2db9a498a60d3eb" xr:uid="{FEA65485-FB9B-46CD-AAA7-D9873B38C2C9}"/>
    <hyperlink ref="B18" r:id="rId17" display="https://github.com/fvanevski/knowledge_agent/commit/ef77bb2ccb38eee7f8a5e2374edb418adac4473b" xr:uid="{C2DBBAFF-03E7-47C5-A870-F3E6957E2055}"/>
    <hyperlink ref="B19" r:id="rId18" display="https://github.com/syada13/hands-on-building-llm-powered-applications/commit/dfea5f54d75ccb3a95dee12f5d8c4979ee30a612" xr:uid="{A982A5DA-FFA6-4655-BE77-4F63FAA1F668}"/>
    <hyperlink ref="B20" r:id="rId19" display="https://github.com/Eden-Cohen1/Projectron/commit/b0c6e9a966b61ae3f72057f07e3c20c6cc0d8ebe" xr:uid="{8637526A-2D55-4902-82AA-0EC05D00C179}"/>
    <hyperlink ref="B21" r:id="rId20" display="https://github.com/Mohamed-B-ak/Siyadah-Call-Center-AI-maatmd-fryq/commit/57f9fd5529a48d9d4a79ece65d082c0d0e87d192" xr:uid="{B2A7BB2D-BDF5-4688-A772-8D3AD2E994BC}"/>
    <hyperlink ref="B22" r:id="rId21" display="https://github.com/lothronx/cm3070-lawtime/commit/c72917ff1975277c7462ab0babc37b69d0a49fba" xr:uid="{F530C32E-89FC-4BA0-A4FB-B5C174290FCE}"/>
    <hyperlink ref="B23" r:id="rId22" display="https://github.com/RyanLisse/solomon-codes/commit/262c51c5f63369ace7e4c94874a4a4a21d84e75b" xr:uid="{0EB9A9F2-0131-4572-B8FD-D0F1308ED2B5}"/>
    <hyperlink ref="B24" r:id="rId23" display="https://github.com/bossjones/boss-bot/commit/f4877dc71af4bc6a2405aaf844c535cec788dde3" xr:uid="{2D4E5B06-869A-40D6-97A1-4D90288304CD}"/>
    <hyperlink ref="B25" r:id="rId24" display="https://github.com/Hive-Academy/nestjs-ai-saas-starter/commit/9623904a39d7ed182c77251839b857c3fcb3ee36" xr:uid="{767FFDE1-0016-4210-802B-A13EB3401F55}"/>
    <hyperlink ref="B26" r:id="rId25" display="https://github.com/NirelNemirovsky/aigie-io/commit/ecfb314b546018e0e745344ce391a89c5d78774a" xr:uid="{0E06CF76-A6E1-463B-B177-E8C00CC0AAC9}"/>
    <hyperlink ref="B27" r:id="rId26" display="https://github.com/langchain-ai/langchain/commit/9725e1046a2295153287806807e01fe9ed611043" xr:uid="{C6CF582D-30B5-45F8-9CA5-33D12222160F}"/>
    <hyperlink ref="B28" r:id="rId27" display="https://github.com/harshith1204/pms-assistant/pull/121/commits/480954043d339645631848d17f3ecc4fbaf4156e" xr:uid="{24849199-4383-4AEB-AE10-C3A1E77E0CDF}"/>
    <hyperlink ref="B29" r:id="rId28" display="https://github.com/Ege-Cakar/Automated-Risk-Assessment/commit/4df8c94080c2a208c642957a7bb0c5420ef5cb91" xr:uid="{FDE794D8-EFFC-4AE6-9951-F1ACD2659C04}"/>
    <hyperlink ref="B30" r:id="rId29" location="diff-9c75e0bfa6a771287640cec29f7157eeb825c3516653347b0e4d0da1048877d2L133" display="https://github.com/J-mazz/sys-scan-graph/commit/b9a4506472e8dd660ce3d5d2e2b4f2d076a4d16f - diff-9c75e0bfa6a771287640cec29f7157eeb825c3516653347b0e4d0da1048877d2L133" xr:uid="{40751158-4B33-4483-8FA9-729231AE0A25}"/>
    <hyperlink ref="B31" r:id="rId30" display="https://github.com/paxtonedgar/utilities_assist/commit/9d2428f0c37e25b043a43afd46ea3ea2d4789dc7" xr:uid="{BB915150-EC6C-477A-B3E9-31B8020810FF}"/>
    <hyperlink ref="B32" r:id="rId31" display="https://github.com/MaazKhan3/ExpenseBot_POC/commit/e3789a4beea75045002ed2d6daf0fd75c8c9bc4d" xr:uid="{C9BB782B-1CFE-4A5C-9CDE-A18A6F91EB64}"/>
    <hyperlink ref="B33" r:id="rId32" display="https://github.com/NirelNemirovsky/aigie-io/commit/04da5c04b2a186867f244859a8172e728d7d082d" xr:uid="{7D7961BB-8CB6-46E7-959C-AD03F6417E79}"/>
    <hyperlink ref="B34" r:id="rId33" display="https://github.com/chintamanil/cybershield/commit/07608050ca98ff61c92beec7c15b9a666d735139" xr:uid="{DAD6AB03-A907-4B87-8FCE-1DFC55E5AE52}"/>
    <hyperlink ref="B35" r:id="rId34" display="https://github.com/JoshuaC215/agent-service-toolkit/commit/3b6f9626e9fe5d060e4f8bfb5a312c0d495c481f" xr:uid="{F63FADDD-9746-4D88-816C-A52BBB6B3742}"/>
    <hyperlink ref="B36" r:id="rId35" display="https://github.com/solanovisitor/hacs-ai/commit/c8b96a231470d0a490371be61fcd7600248e2afd" xr:uid="{0CB6C4BB-E4AD-4FC0-A412-23D970202A08}"/>
    <hyperlink ref="B37" r:id="rId36" display="https://github.com/parth1609/RAGveda/commit/a11d83969234368fd6c7a4a3118a23177b5e7ec8" xr:uid="{8E338864-ABBB-4FE2-9EEE-C04F0ADEB31B}"/>
    <hyperlink ref="B38" r:id="rId37" display="https://github.com/guinacio/langchain-mcp-client/commit/ba12613265b7a9918d34fb92ddb9ac731a66a433" xr:uid="{FE39E2AC-BC2F-4A18-9039-B14D6F42AEE8}"/>
    <hyperlink ref="B39" r:id="rId38" display="https://github.com/Dtano17/pathwise_app/commit/7e4670094d0cd943e5eac928352881126862a350" xr:uid="{4613E590-A74E-4F39-A551-00A42565A7EB}"/>
    <hyperlink ref="B40" r:id="rId39" display="https://github.com/BomfimThiago/ZendeskiAgentAutomation/commit/fd6dffa35aa62265b2505e3a4e4b4f130f87ed4b" xr:uid="{89AC8EA8-DB33-4109-8054-093B12BB1288}"/>
    <hyperlink ref="B41" r:id="rId40" display="https://github.com/idvorkin/nlp/commit/dc50ee7a8c21ca32979815dc4349ab9cd8527096" xr:uid="{26E425D9-9CAD-407F-AE5F-068F1B3C7787}"/>
    <hyperlink ref="B42" r:id="rId41" display="https://github.com/vishnu2kmohan/mcp-server-langgraph/commit/e356db4a07d03bdc47ce3adbadd1ee98b9ec609d" xr:uid="{E3EF65FC-36E7-4202-8EF0-AC0010676E0B}"/>
    <hyperlink ref="B43" r:id="rId42" display="https://github.com/JaymieX/JAA/commit/c373419d444a224aaf561b032ba5446e00138286" xr:uid="{1AC85698-D15C-4293-94B4-5AC0C7A95E46}"/>
    <hyperlink ref="B44" r:id="rId43" display="https://github.com/ykinger/Buildsure-be/commit/f56c8469da9e8a2238c2c19eebf22daedfd68e59" xr:uid="{2E18CD70-1E49-4556-8411-83FA3A6E1CF9}"/>
    <hyperlink ref="B45" r:id="rId44" display="https://github.com/aruizca/aruizca-resume/commit/8108951369a79d1ed04b08998697c87d5a6e3f9d" xr:uid="{25707DD6-2FAC-4EEE-8F8C-2B896031A566}"/>
    <hyperlink ref="B46" r:id="rId45" display="https://github.com/RunLittleTurtle/agent_inbox/commit/818d728d22511603d5815d473fe178d652a3ab79" xr:uid="{229A6089-C466-48E5-9C7F-9CA410E79171}"/>
    <hyperlink ref="B47" r:id="rId46" display="https://github.com/TencentBlueKing/bk-lite/commit/a116793c2e22d3f93d7550ebf22ec2c46a3ccbc8" xr:uid="{F95EFDC0-96E5-4AA3-A19E-7C79200188E1}"/>
    <hyperlink ref="B48" r:id="rId47" display="https://github.com/Ziyan0219/data-cleaning-agent/commit/ad59db504daa798862aeafb880b9f357691b1812" xr:uid="{53D74E63-7E88-4200-B0BD-617477960585}"/>
    <hyperlink ref="B49" r:id="rId48" xr:uid="{F4502C9B-4E65-4064-9905-4C59A5447E07}"/>
    <hyperlink ref="B50" r:id="rId49" display="https://github.com/Yousif-Abuzeid/Deep-Query/commit/14a6100a1b7eaa168c0e04ec15e7ccee75e40b2f" xr:uid="{331ED401-0BF5-4579-B173-F7F0F06B3349}"/>
    <hyperlink ref="B51" r:id="rId50" display="https://github.com/Yoni-Raich/Article_Chat_Assignmentm/commit/b9f994f27f818cd86f575f4bc5f71bb81a251c68" xr:uid="{6647A683-9499-430B-959A-2C74E63E1E0A}"/>
    <hyperlink ref="B52" r:id="rId51" display="https://github.com/JoshuaC215/agent-service-toolkit/commit/3b6f9626e9fe5d060e4f8bfb5a312c0d495c481f" xr:uid="{4DF1E3CE-DD2D-4C29-8196-D3A53E7A8F27}"/>
    <hyperlink ref="B53" r:id="rId52" display="https://github.com/solanovisitor/hacs-ai/commit/c8b96a231470d0a490371be61fcd7600248e2afd" xr:uid="{01BAE249-B548-429E-8077-FD1A3EDFBDAD}"/>
    <hyperlink ref="B54" r:id="rId53" display="https://github.com/RonnyRoos/cerebrobot/commit/6a5955e196dc37777c5335d2639406eeb35a7b84" xr:uid="{4D378C9F-BA4F-4FBB-9EB6-D7DD1DCD969A}"/>
    <hyperlink ref="B55" r:id="rId54" display="https://github.com/parth1609/RAGveda/commit/a11d83969234368fd6c7a4a3118a23177b5e7ec8" xr:uid="{DBB2FBD0-518E-4161-BBFC-D762CDD9CA31}"/>
    <hyperlink ref="B56" r:id="rId55" display="https://github.com/mirjebreili/Agentic-Router/commit/7c38fdd159b1600511ea90891b1b10a3dda0a724" xr:uid="{238EF7D8-A414-472E-85AD-AF90D08CC86A}"/>
    <hyperlink ref="B57" r:id="rId56" display="https://github.com/liam-hq/liam/commit/695e79f3eb8f74c8082cfd7c5710802733cdb251" xr:uid="{B1519484-23E7-408E-9ECF-E0C93C9EC664}"/>
    <hyperlink ref="B58" r:id="rId57" display="https://github.com/launchdarkly-labs/devrel-agents-tutorial/commit/cf13775204511b3ff19ad81aa1a500c8deb23f55" xr:uid="{5BB69FB0-51D7-49D8-94E1-958D5D3A006B}"/>
    <hyperlink ref="B59" r:id="rId58" display="https://github.com/codemonkey800/lilnas/commit/7743f0c41f18199a091625ec45905fed714d1e42" xr:uid="{A8052EC5-569D-4334-A46F-E6F590C9877F}"/>
    <hyperlink ref="B60" r:id="rId59" display="https://github.com/cds-9-group-6/sasya-arogya-engine/commit/5f96b3c650aab2964b6bfca01c22330183aef9a6" xr:uid="{DF0A9AB1-56F4-4BE1-ADA0-BAB326926913}"/>
    <hyperlink ref="B61" r:id="rId60" display="https://github.com/epklein/ai-agents/commit/bd1eaddcb610d3a53a1128d1c3dbedfcc8106220" xr:uid="{D16C4A55-84CD-4135-B4DD-FE543A8D8EEE}"/>
    <hyperlink ref="B62" r:id="rId61" display="https://github.com/itzbhushan/ez-scheduler/commit/df613f32ad6c90deb373ca309597a7beeaa16a44" xr:uid="{E88568F0-FBF2-4199-90DE-FF47559D63BE}"/>
    <hyperlink ref="B63" r:id="rId62" display="https://github.com/Neuroca-Inc/Neuroca/commit/d564905c3e8708de390d6307280b4049b6a04fe2" xr:uid="{4BC33EA6-8F61-472F-B2EB-C919E79DC77B}"/>
    <hyperlink ref="B64" r:id="rId63" display="https://github.com/cds-9-group-6/sasya-chikitsa/commit/7600564b2048f95d4e1e7e22ad67a0417cade07d" xr:uid="{C22E7A16-F711-433D-B028-764A3501C3F7}"/>
    <hyperlink ref="B65" r:id="rId64" display="https://github.com/DevDeividMoura/omni-max/commit/86c356436e6468ffd7ae102120a9b2b876ebc577" xr:uid="{5E31EAD2-72D5-4476-9942-4B661716C2B8}"/>
    <hyperlink ref="B66" r:id="rId65" display="https://github.com/rudihinds/langgraph-agent/commit/5a2d42957ac7f69d98642e7e858373c9e584d260" xr:uid="{91CB8D25-329E-43BD-84D7-A2A344CC10CA}"/>
    <hyperlink ref="B67" r:id="rId66" display="https://github.com/aandmaldonado/ai-resume-agent/commit/0ad71e1993b2e1361290dc93d5d04a11b66c8bdf" xr:uid="{9A3D4BB9-38A9-4ED8-9540-77F72A5B59F1}"/>
    <hyperlink ref="B68" r:id="rId67" display="https://github.com/idvorkin/nlp/commit/f53d33f64477f4393f87af4d9af6e3f482df9555" xr:uid="{464B76EF-04AD-47AE-A76A-4278F751A1FD}"/>
    <hyperlink ref="B69" r:id="rId68" display="https://github.com/ckrough/file-classifier/commit/447a09ce9a9e4c98ea60d0eb051e01a3cf973bab" xr:uid="{049477A7-E6EB-48E4-B1B2-16A5A784E786}"/>
    <hyperlink ref="B70" r:id="rId69" display="https://github.com/Lokesh-Tallapaneni/Amazon-Affliate-Dashboard/commit/963722943a6f7d09976f7005a76db616e8462fcf" xr:uid="{EC5525A7-0E1B-438A-AB44-35E8DF9061B9}"/>
    <hyperlink ref="B71" r:id="rId70" display="https://github.com/RazumRu/ai-company/commit/468f8dd6e129faa25a3616d799a2659c4e20d243" xr:uid="{2BE24941-1034-4DC4-80E7-CFAFED08C977}"/>
    <hyperlink ref="B72" r:id="rId71" display="https://github.com/ChatLunaLab/chatluna/commit/9f7332529850cceb0b1ab8138540796c6a47890e" xr:uid="{70F0A127-7221-4996-9167-DDCC420C9B62}"/>
    <hyperlink ref="B73" r:id="rId72" display="https://github.com/idvorkin/nlp/commit/ed783b2aebf9bdad2de7fedcec3a9ba9e723e7f8" xr:uid="{21FD72E0-2997-4AAD-BE2E-F468D8E60096}"/>
    <hyperlink ref="A74" r:id="rId73" display="https://github.com/tenstorrent/tt-studio/commit/9d350593699204f3f90dfc10ba10156fa845ab47" xr:uid="{60335918-17F7-47C0-800A-BAFB9EA4B2FF}"/>
    <hyperlink ref="B74" r:id="rId74" display="https://github.com/tenstorrent/tt-studio/commit/9d350593699204f3f90dfc10ba10156fa845ab47" xr:uid="{9DBBDBCD-F78A-4F76-BFEA-0D868495C860}"/>
    <hyperlink ref="B75" r:id="rId75" display="https://github.com/lc708/YADRA-YetAnotherDeepResearchAgent/commit/75770fed7fdfa9b1f37b0668a2225378c48775af" xr:uid="{7B3B73F0-35BE-4CD2-B55D-4B52493752E4}"/>
    <hyperlink ref="B76" r:id="rId76" display="https://github.com/crewAIInc/crewAI/commit/870dffbb894925deb75dd1a0361b1647a1397eec" xr:uid="{FA2FFAD0-CFD2-4E45-BE5B-7516C6AFA12B}"/>
    <hyperlink ref="B77" r:id="rId77" display="https://github.com/pablo-lozano-martin/genesis/commit/25d916b0f6920e360f0b7bbcc4c03a13d767596f" xr:uid="{1AE12532-8030-41D2-94D0-8F0A6C09B1DF}"/>
    <hyperlink ref="B78" r:id="rId78" display="https://github.com/canoekuro/analytics_ai/commit/8e53e7f5ef5ac140549db4b40eb2e299ddaad4a1" xr:uid="{1B00D354-250F-448C-A194-B6C25A35AC54}"/>
    <hyperlink ref="B79" r:id="rId79" display="https://github.com/takuto-NA/YouAlwaysWereJS/commit/964c7e8454286335568f44ce112c7dacfb4aa8f1" xr:uid="{0CB0217C-88A6-433C-9616-EE223EEF3129}"/>
    <hyperlink ref="B80" r:id="rId80" display="https://github.com/Kewton/MySwiftAgent/commit/c921b8b79d7470039eb416224af7adb9f8e667e3" xr:uid="{E7F1922E-C1CB-4B05-B80C-B8B974CC2120}"/>
    <hyperlink ref="B81" r:id="rId81" display="https://github.com/unfoldingWord/bt-servant-engine/commit/fc95ea86ec986426c442ea21a6c594a7b5954b14" xr:uid="{95782D8E-04CB-4B8C-AF58-DE2BEFBD98A1}"/>
    <hyperlink ref="B82" r:id="rId82" display="https://github.com/spin-glass/papers-rag-agent/commit/1f1028ef7a691b5fbd87cac72e2704069409a88c" xr:uid="{FF633EAE-7F73-458D-85E1-E6275A440333}"/>
    <hyperlink ref="B83" r:id="rId83" display="https://github.com/unfoldingWord/bt-servant-engine/commit/231d4f2d2c062c04a233a788fd99f487ba4866bf" xr:uid="{8B8F46C0-5B7A-4EAF-B527-89ABD304CE95}"/>
    <hyperlink ref="B84" r:id="rId84" display="https://github.com/HuskyDanny/FinancialAgent/commit/416b36ea1d3d1a5cadc704834a1f0c319a16f159" xr:uid="{7C36452A-4C60-4EAB-977A-7D79020E190B}"/>
    <hyperlink ref="B85" r:id="rId85" display="https://github.com/simonaszilinskas/lizdeika/commit/713bd5e1490355030336ee02242a9e7b2021e37f" xr:uid="{B4A39C3B-80FF-4CBA-BDD2-06A17A70F3D7}"/>
    <hyperlink ref="B86" r:id="rId86" display="https://github.com/elastic/kibana/commit/25bdd82f1ee6faeef3089793fd68a13fd8f2410a" xr:uid="{F43BF728-579E-4888-AC8B-3852319E2C4A}"/>
    <hyperlink ref="B87" r:id="rId87" display="https://github.com/arthurmorais12/ecommerce-chat/commit/3e924091a8e3713a712fb8bcc187696d02c5b3fb" xr:uid="{D3452179-3A17-4D99-8CF1-26DFB0C314E8}"/>
    <hyperlink ref="B88" r:id="rId88" display="https://github.com/lc708/YADRA-YetAnotherDeepResearchAgent/commit/89262f6a4d5de552233a6f2617b9324ebf864446" xr:uid="{EE8669ED-6A67-4BB8-9849-02F0F7B44889}"/>
    <hyperlink ref="B89" r:id="rId89" display="https://github.com/lc708/YADRA-YetAnotherDeepResearchAgent/commit/a9a2413836038678895ea722415348a6322cc5f1" xr:uid="{2B5AF343-1EE7-40DC-8B20-AEC0FAF195D7}"/>
    <hyperlink ref="B90" r:id="rId90" display="https://github.com/lc708/YADRA-YetAnotherDeepResearchAgent/commit/89fb2de9b05a5331d1b7940bae593c657dd05fc9" xr:uid="{74EDC711-B359-4EF2-A8A8-4278F6492F87}"/>
    <hyperlink ref="B91" r:id="rId91" display="https://github.com/vimalmenon/ai/commit/c432322786fa577c27bb5c84d2951ce782c805c3" xr:uid="{9E367374-AE58-4EE9-B57A-9F7824439F13}"/>
    <hyperlink ref="B92" r:id="rId92" display="https://github.com/moikas-code/studio_moikas/commit/14e85ff479751e5c5d58a6dfcdef6d3c79102c23" xr:uid="{FB1A50E4-D830-45CF-878F-170128D8E379}"/>
    <hyperlink ref="B93" r:id="rId93" display="https://github.com/Rajathbharadwaj/DocRAG-Backend/commit/cbe1f370adbd46b191523631613b6afd9ff213bb" xr:uid="{E5C5A452-AA2E-41CE-834C-4D24AD2484F4}"/>
    <hyperlink ref="B94" r:id="rId94" display="https://github.com/Alexanderdunlop/MemGPT-Discord/commit/9eb09b5b228db748c740c20b656691b156ee3dd4" xr:uid="{106529EA-310B-40D4-9851-EB6D49C47A54}"/>
    <hyperlink ref="B95" r:id="rId95" display="https://github.com/mcp-use/mcp-use/commit/f08e870e097d31953a47a4dae476a23f0933c00a" xr:uid="{D9C6C4BB-5A90-4F66-A667-CD153EE7DCA3}"/>
    <hyperlink ref="B96" r:id="rId96" display="https://github.com/X2bee/PlateeRAG_backend/commit/b1f5b3ed92f37dd13459d2d772f75e11bbcc27c5" xr:uid="{21DE949F-5584-4978-AB7E-3F0AC15B0D1A}"/>
    <hyperlink ref="B97" r:id="rId97" xr:uid="{B4B3BBAD-95AF-4E8D-905D-3C5DEDB1ECB4}"/>
    <hyperlink ref="B98" r:id="rId98" display="https://github.com/Infifrontend/Disruption-Management-AERON/commit/714b1fbd5f87978808e541592c4f9cfa5bdb7aa4" xr:uid="{1111B8DD-FB7A-45B2-88F2-82401A4F7E03}"/>
    <hyperlink ref="B99" r:id="rId99" display="https://github.com/tkhwang/tkhwang-pico/commit/dcf89a27e87f648130e66f752a8957591a0a97f2" xr:uid="{CCC185A7-4E8C-416E-BB04-3BB9736FE162}"/>
    <hyperlink ref="B100" r:id="rId100" display="https://github.com/mehrdad-abdi/diversifier/commit/8c4678d1615fbc3c0c3b97129a4789e08180cc2b" xr:uid="{51D0F842-8CDC-4522-BB8F-ACBA6F88F05A}"/>
    <hyperlink ref="B101" r:id="rId101" display="https://github.com/Gael-Android/SSU_RAG/commit/4228e4e133cd201ebb2e04d0e40c3bf27b775b4c" xr:uid="{1C16E7DB-72CF-4113-9FB0-9C854E71BA85}"/>
    <hyperlink ref="B102" r:id="rId102" display="https://github.com/idvorkin/nlp/commit/5b372723475bffe6b1fc1f1d3aaa35da5fae4191" xr:uid="{A205701E-0BEB-4E1A-97C2-68E33755C994}"/>
    <hyperlink ref="B103" r:id="rId103" display="https://github.com/service-tisac/tisac-assistant-backend/commit/e6b1254c77ae286b294415439cf5464c074780d9" xr:uid="{04D45604-9E73-4D36-B523-BDD0BF6F785A}"/>
    <hyperlink ref="B104" r:id="rId104" display="https://github.com/Kirch77/syntha/commit/0ed2b237267d24f51a5c3fb108f837a2f7b61cfe" xr:uid="{24006428-9AF1-432C-A35F-1092D9D1347E}"/>
    <hyperlink ref="B105" r:id="rId105" display="https://github.com/prxs-ai/praxis-py-sdk/commit/63bcdd9e26938ed6aa0c8054ae25afeab8cdc05b" xr:uid="{26D0023F-62CD-45BF-BDAC-4D05B2D2BCE1}"/>
    <hyperlink ref="B106" r:id="rId106" display="https://github.com/nguyenhonglich111-1001/Experimental/commit/3e970bfea0fb85405b07cd96dfc6e1d1ca862ed2" xr:uid="{80C36B06-D766-4ED8-8393-641D7E45E48F}"/>
    <hyperlink ref="B107" r:id="rId107" display="https://github.com/langflow-ai/langflow/commit/7aeb687533e53027aa477722d06d337b1a210ac6" xr:uid="{78157CCE-F6EC-4C13-9856-0F9C5A1A3902}"/>
    <hyperlink ref="B108" r:id="rId108" display="https://github.com/agent-revra/revra/commit/dbfdb82e27608b8ae60520366ba6f00d2ea607a8" xr:uid="{86C638E8-208A-4A4B-BB30-871C841D5867}"/>
    <hyperlink ref="B109" r:id="rId109" display="https://github.com/coziro/ai-agent-demo/commit/047932232b127bf75e2e4840d7c390816e1d4dd8" xr:uid="{57650D3E-256F-47FC-AE63-278ABADEEE00}"/>
    <hyperlink ref="B110" r:id="rId110" display="https://github.com/callzhang/recruiter/commit/050d52b3e547ec5812b071887b2547325ee3c5f6" xr:uid="{C3168E44-D570-4EDB-93E0-125F29BF1B08}"/>
    <hyperlink ref="B111" r:id="rId111" display="https://github.com/coziro/ai-agent-demo/commit/94c4f5af7a4ac082a4edbd9ce566c4efac7f1534" xr:uid="{792D062A-8F81-4E44-8845-E43A989CBC0A}"/>
    <hyperlink ref="B112" r:id="rId112" location="diff-a0e0a5ec1679194fef962efe10af8e409650eaf2eeea89d3a69f370358ef8c24L29" display="https://github.com/moe1047/ai-bestie/commit/e57ce65f2ed24ebae134fdd0ee5262e7220ba3f6 - diff-a0e0a5ec1679194fef962efe10af8e409650eaf2eeea89d3a69f370358ef8c24L29" xr:uid="{15453AF6-048F-40A9-8AF7-ABC65B74139F}"/>
    <hyperlink ref="B113" r:id="rId113" display="https://github.com/synergyai-nl/svelte-langgraph/commit/1ae88f755e6d8550cff98f00c5c8baf48a65ff76" xr:uid="{BF3FB614-07FB-4114-983F-01C1F6D0A00D}"/>
    <hyperlink ref="B114" r:id="rId114" display="https://github.com/gargpriyal/Hackathon2025/commit/af56292ffbf744b67465a5db4469b07c3429290a" xr:uid="{D5BB7C35-A37A-44B5-ACB8-F1A06188FD85}"/>
    <hyperlink ref="B115" r:id="rId115" display="https://github.com/HAMA-team/HAMA-backend/commit/7b984c2a646dfef18e6fe07e5496f4d1ba847d5c" xr:uid="{6A184C81-5048-486A-92F9-DA57BF3374C1}"/>
    <hyperlink ref="B116" r:id="rId116" display="https://github.com/yeshuman-io/yeshuman-agent-stack/commit/54b0b101f3cf850ac75788998b10b4b856783e36" xr:uid="{E132B80E-4A4F-453D-ABD2-F2E0ACCA0E10}"/>
    <hyperlink ref="B117" r:id="rId117" display="https://github.com/kaiser-data/multi-agent-research/commit/01ee02deda6cdb1da733ba44fa038055b835c291" xr:uid="{F8902570-533F-4A93-B6E9-BA9064A64743}"/>
    <hyperlink ref="B118" r:id="rId118" display="https://github.com/opensearch-project/OpenSearch-Dashboards/commit/681c9e6f06ad329386e6c654501119fd7278c537" xr:uid="{3265273E-39BD-4676-BFD4-7F53890E44C6}"/>
    <hyperlink ref="B119" r:id="rId119" xr:uid="{553F4FB7-09A7-4DCC-95C4-B067FB328408}"/>
    <hyperlink ref="B120" r:id="rId120" display="https://github.com/mirjebreili/Agentic-Router/commit/ab7291c0b41aeccc9c23307cb5137d15e7160ba8" xr:uid="{EF982833-3051-40DE-8D04-C44C49B2919D}"/>
    <hyperlink ref="B121" r:id="rId121" display="https://github.com/TuberRishi/Kisan_Dost_AI/commit/55c162e2d02236f2d6a133c34f4ca3cb4a5d3824" xr:uid="{0F8349D1-E2C6-4DDB-BD69-C74ABDF0ABE5}"/>
    <hyperlink ref="B122" r:id="rId122" display="https://github.com/oasm-platform/oasm-assistant/commit/45ce44dbb4c2a8724926a97dbf262110203b8f34" xr:uid="{4C0D4637-AC71-4C93-B459-2A4BE379B43A}"/>
    <hyperlink ref="B123" r:id="rId123" display="https://github.com/anadi45/quark-chat/commit/b49fe1ece02ea9d12a3ecb8c1ad251aa0d482501" xr:uid="{AA28755E-2309-41B3-B662-9FDDD324E7BD}"/>
    <hyperlink ref="B124" r:id="rId124" display="https://github.com/d-gangz/langgraph-instructor/commit/101f0f1ba118a2f390463d439c09d23935afc2bc" xr:uid="{BEDE975B-056F-41F4-A865-DDE370A43E07}"/>
    <hyperlink ref="B125" r:id="rId125" display="https://github.com/d-gangz/langgraph-instructor/commit/22f295939a2679dd4a184f31617acbc9c59eb865" xr:uid="{A58DE0D7-07C9-4157-A6BA-E2F739D37D97}"/>
    <hyperlink ref="B126" r:id="rId126" display="https://github.com/jewells77/EchoBrandAI-Mind-Backup/commit/362b4c1fcc3129b7ac0ec6f22f75674f9c5cf6a6" xr:uid="{FFF27C03-38E0-4645-918D-CDAEE3231C9B}"/>
    <hyperlink ref="B127" r:id="rId127" display="https://github.com/Svring/brain/commit/217b424555593a052374469699cd35dd382ea1ca" xr:uid="{62BEF0BD-8D48-4130-BD73-5DF296897417}"/>
    <hyperlink ref="B128" r:id="rId128" display="https://github.com/Svring/brain/commit/ac158890ff08cf139863941f7e80dfe56d56a680" xr:uid="{58D31A44-5E06-431D-B027-96A86E08A4AB}"/>
    <hyperlink ref="B129" r:id="rId129" display="https://github.com/TuberRishi/Kisan_Dost_AI/commit/9993ad03ac4a6ef27c87bd2c57e8e6f0c08f7049" xr:uid="{6E24F321-B9B2-4B54-B8C7-F9E75C6FE799}"/>
    <hyperlink ref="B130" r:id="rId130" display="https://github.com/soontechgroup/ai-agents/commit/8325fc83cb3a232b0258613461cb6461eb67e8ac" xr:uid="{4CF66B68-5003-490A-8E55-7A3400856290}"/>
    <hyperlink ref="B131" r:id="rId131" display="https://github.com/kenomendako/gradiotest/commit/72e0826d4effe42533f6eb0d0a229d34ef5ec35f" xr:uid="{35B9F237-D6C1-44D5-8CCA-0672975803E5}"/>
    <hyperlink ref="B132" r:id="rId132" xr:uid="{8D52048B-51AC-41D2-87E3-09A488D5D3F4}"/>
    <hyperlink ref="B133" r:id="rId133" display="https://github.com/baotvdn/chatguard/commit/d60b4f876bd5e355cddcc389706b680b5042d246" xr:uid="{8F14D695-9630-4C4F-AE13-7A8A2C24C2EC}"/>
    <hyperlink ref="B134" r:id="rId134" display="https://github.com/Joecsr24/Luna/commit/1bfec3ad0556c3a5f54e1067a11379f5d8ce919c" xr:uid="{E57C5C3A-58DB-4BBD-AA3B-7E76A696DA6D}"/>
    <hyperlink ref="B135" r:id="rId135" display="https://github.com/lointain/langchain_aisdk_adapter/commit/556ee1c1eb18ee742ec6d4b5b2952058b556697d" xr:uid="{07DD92FE-EB5D-4356-91BE-546B7D9E1342}"/>
    <hyperlink ref="B136" r:id="rId136" display="https://github.com/Les-Mills-Ai-Agent/RAG-Demon/commit/b7bca5a1310bdbfdd98023ad28e98954b063367c" xr:uid="{B1696BE3-FF67-4808-A4F3-7A0975099A7B}"/>
    <hyperlink ref="B137" r:id="rId137" display="https://github.com/FurkanSahinnn/psychological-agent/commit/efcab0a6ae2707f8c9ab8b35a3eeddf8ca0e8565" xr:uid="{760E8CE3-FC3A-41F9-860B-E80BFC1A6031}"/>
    <hyperlink ref="B138" r:id="rId138" display="https://github.com/kafkaGen/general-assistant/commit/c83e2588e088adf5f4803dff9688ef07f5e925f3" xr:uid="{0AA335F9-88A2-4A68-9106-2018EF8CBAC1}"/>
    <hyperlink ref="B139" r:id="rId139" display="https://github.com/arthurmorais12/ecommerce-chat/commit/8e3edabb925f892107438516701dd6f0ac1b3def" xr:uid="{1ACDF0A1-1515-4234-84A2-81086FF23E3F}"/>
    <hyperlink ref="B140" r:id="rId140" display="https://github.com/rudihinds/langgraph-agent/commit/49777f1f403eb9163338dedd3c44e0fb8d05abe1" xr:uid="{C3823104-3D78-4BC4-AE7F-A315EA1421FA}"/>
    <hyperlink ref="B141" r:id="rId141" display="https://github.com/RobotecAI/rai/commit/a10e52d058f3f990c6367244cd88678082992eaa" xr:uid="{F16D896D-EDD7-422A-B032-EEB5C54ADF86}"/>
    <hyperlink ref="B142" r:id="rId142" display="https://github.com/midodimori/langrepl/commit/d003cce49694ce0140249386db96b655dbe58fa0" xr:uid="{AF139D66-37A4-495E-8046-3D792A412293}"/>
    <hyperlink ref="B143" r:id="rId143" display="https://github.com/ssdeanx/langgraph-dm/commit/f2c1dc00d6e4dc629231ce31614103ef261267e1" xr:uid="{9A87E5BA-1ADA-4903-9AD3-232795ACC670}"/>
    <hyperlink ref="B144" r:id="rId144" display="https://github.com/Lostovayne/Agente-de-IA-usando-Next-y-Langchain/commit/e7cd19cc538f3f5156dd717c457d73df6b6dae67" xr:uid="{A249CED7-F770-473C-8EB1-EFEE85DF6915}"/>
    <hyperlink ref="B145" r:id="rId145" xr:uid="{644496D9-A6B2-4F18-B6A0-1DA75B6FC2E3}"/>
    <hyperlink ref="B146" r:id="rId146" display="https://github.com/currentspace/dj/commit/d132f568cebfc27531bc84fce48bb2f44837b5c6" xr:uid="{8CB0D5CB-1145-4279-8C94-4BFD4A3CAB73}"/>
    <hyperlink ref="B147" r:id="rId147" xr:uid="{5FEC0E6F-6CE3-4C41-8E3E-7B61AC79E8C6}"/>
    <hyperlink ref="B148" r:id="rId148" display="https://github.com/theexperiencecompany/gaia/commit/5fe18b3dedfdf2f99dd31aa42c6ec5918fac9841" xr:uid="{F8DE4910-1099-4BB5-A1D7-9ECDD7CD525B}"/>
    <hyperlink ref="B149" r:id="rId149" display="https://github.com/YongzhQi/stock-prediction/commit/2603bf5822ab3df95c9c231c0610b2e805642edb" xr:uid="{B6FE712F-0960-4D0C-9236-4CED42A0089B}"/>
    <hyperlink ref="B150" r:id="rId150" xr:uid="{976BCCE8-107B-4D5F-9633-FCFB59CD603D}"/>
    <hyperlink ref="B151" r:id="rId151" display="https://github.com/MehdiZare/seekr-assignment/commit/f0ee5ba75154ce838124b8e5bfe4f5c8f3bf2f85" xr:uid="{D554D78C-78F4-4388-9A8A-55AF3E0ED670}"/>
    <hyperlink ref="B152" r:id="rId152" display="https://github.com/JBoggsy/aipa/commit/acfa16eec839c4d1e5f004e356cefc702a5a37ee" xr:uid="{E9FD9C8F-4974-4EF0-9A07-8818A5B25172}"/>
    <hyperlink ref="B153" r:id="rId153" display="https://github.com/NaifMersal/Legal-assistant/commit/eb80155e80a00a04e54bfeb19d1c18381c7925de" xr:uid="{3ED70A0F-8DD6-4624-B4D3-E1268D576D67}"/>
    <hyperlink ref="B154" r:id="rId154" display="https://github.com/LongStoryMedia/llmmllab/commit/70e006ef3c47e51254a9f85f00ae806278e5da0d" xr:uid="{774EBCF2-F4CE-4689-9DFB-BC32B70BD888}"/>
    <hyperlink ref="B155" r:id="rId155" display="https://github.com/mihiarc/rpa-landuse/commit/3cbd0d6603d364355c991a956a2f928b63b2b771" xr:uid="{3ED4B4B5-8089-4D8E-8535-4121FC091383}"/>
    <hyperlink ref="B156" r:id="rId156" display="https://github.com/AhmedShetaia/Finincial_ChatBot/commit/d9a6b5d1310be287e98e09d60fd222693383472c" xr:uid="{BD1D600D-1A62-4DBB-AC0A-7BF4A26D270C}"/>
    <hyperlink ref="B157" r:id="rId157" display="https://github.com/shskwmt/hikizan-emacs/commit/84365f48d52394fe39ed9ad9e8174a26ba1b9a8f" xr:uid="{8A27C508-B1D9-4F04-BF28-E651C5F94CA6}"/>
    <hyperlink ref="B158" r:id="rId158" display="https://github.com/Monthlyaway/AI-Conversation/commit/180ff70e4612b4998cc08cfd5c671471baec4c1d" xr:uid="{1FFF5201-6C6C-49D1-A006-3E0E7CB237F4}"/>
    <hyperlink ref="B159" r:id="rId159" display="https://github.com/himudigonda/agentum-framework/commit/9b9e854fb4369a73c591bc561c475e33722d2144" xr:uid="{53FDDBFF-A7FC-4E73-9843-B946333C8A6D}"/>
    <hyperlink ref="B160" r:id="rId160" display="https://github.com/GuillermoBlanco/ai-knowledge-assistant/commit/73661de7d12d6d6f0e36588426282661e70b20e9" xr:uid="{CCC1211D-659F-40FA-9907-77EB6A1EC0EF}"/>
    <hyperlink ref="B161" r:id="rId161" display="https://github.com/m-ross-thornton/resume-narrator/commit/ee1eca2a03edfe4033f181fe079bbc54a2505627" xr:uid="{DB2A3B8C-9899-40D8-9C62-FA79235F3978}"/>
    <hyperlink ref="B162" r:id="rId162" display="https://github.com/NirelNemirovsky/aigie-io/commit/de4c24820cd5967f1abff5f4af6dafab0207e618" xr:uid="{DC45BF6F-B640-4767-AE7E-20DBDA7B8B1A}"/>
    <hyperlink ref="B163" r:id="rId163" display="https://github.com/hoshinotsuyoshi/study-liam/commit/3854c2b3408f91e5aebbebd2c1373e4568ef0f4d" xr:uid="{197EB17D-42D4-41D8-B44F-539CF3ADDFC3}"/>
    <hyperlink ref="B164" r:id="rId164" display="https://github.com/idvorkin/nlp/commit/9657b08ba96d19996646c00776cf5872040f0bd6" xr:uid="{B856B09A-EB81-441C-A95C-6A82CABE4297}"/>
    <hyperlink ref="B165" r:id="rId165" display="https://github.com/lucelsbyleverageAI/agent-os-starter-kit/commit/e0560f8bc6397084890590771f0aabcc9817fd66" xr:uid="{906CED82-9CD2-4C20-B7E5-25D7D8278022}"/>
    <hyperlink ref="B166" r:id="rId166" display="https://github.com/nexi-lab/nexus/commit/42e22be41d6c3ecbda9a409619c889b5b4bea86c" xr:uid="{862F59C4-7893-42AC-AC72-1DDF9FF5585C}"/>
    <hyperlink ref="B167" r:id="rId167" display="https://github.com/Arc-Computer/atlas-sdk/commit/cc01e2aed1f1f3f7380eeecd744953e91abd2a11" xr:uid="{0A4AA5A9-145E-442D-9745-435091FBD278}"/>
    <hyperlink ref="B168" r:id="rId168" display="https://github.com/WIMUniCologne/agentic_artificial_intelligence/commit/591a28fbbc6790934cf0c05f89fed17467c68206" xr:uid="{BAD6E2D2-10B2-4086-BC21-F670DEB37F33}"/>
    <hyperlink ref="B169" r:id="rId169" display="https://github.com/CaptainCrouton89/Saturn/commit/682feaaccedb2d05d09c5cf17d631f10eb0987c5" xr:uid="{A3DFCE4F-F0B1-49E1-8225-8343321DDF16}"/>
    <hyperlink ref="B170" r:id="rId170" display="https://github.com/AIProjects8/multiagent-telegram/commit/40b3147c3225b175dff8d17145a93a059a80dce8" xr:uid="{26749B82-7A87-428C-AF5C-2921C3369A25}"/>
    <hyperlink ref="B171" r:id="rId171" display="https://github.com/solanovisitor/hacs-ai/commit/cb3467c417513d6da61ad54f24b240aed8b417a1" xr:uid="{A95AAFD4-4E7E-4FA6-800C-144FDE5C30EC}"/>
    <hyperlink ref="B172" r:id="rId172" display="https://github.com/allthriveai/allthriveai/commit/e58b6942d9e4d7491569887d7070bdb6305d4254" xr:uid="{CC3F8C5D-8CE3-4AD4-813B-06002A308B5D}"/>
    <hyperlink ref="B173" r:id="rId173" display="https://github.com/tnorlund/Portfolio/commit/459e7aa2c4f524ff91928f58e8edc2d240d083eb" xr:uid="{6DCF27A7-865D-4086-A82A-80DF2761851B}"/>
    <hyperlink ref="B175" r:id="rId174" display="https://github.com/deadmanoz/orchestra/commit/6ec67f4844c5d44d7d83f8a5ebd4e80a877bda8c" xr:uid="{9BB86EAC-238B-4FD0-8564-D2E0F34FC135}"/>
    <hyperlink ref="B176" r:id="rId175" display="https://github.com/lucelsbyleverageAI/agent-os-starter-kit/commit/96572daf769be6ebab224dd14dc21f292db35292" xr:uid="{658A0303-1EEE-4D06-8353-1A5A50F1C6B6}"/>
    <hyperlink ref="B177" r:id="rId176" display="https://github.com/HuskyDanny/FinancialAgent/commit/8cbb047ac27f991dabcf6396302653add7db33a7" xr:uid="{6C83DC13-AED2-45E8-A977-A909CD286161}"/>
    <hyperlink ref="B178" r:id="rId177" display="https://github.com/Annotation-Garden/HEDit/commit/ef6ed6fa475a79cf6a52c3a5bf405c8d3a94414b" xr:uid="{FD98F38A-1BE2-4E60-9AB8-B1DAC79002DE}"/>
    <hyperlink ref="B179" r:id="rId178" display="https://github.com/stride-nyc/export-langsmith-data/commit/ffe23613dfa5a90e3b03cff809114aa21df74599" xr:uid="{5A8132C6-1583-485B-A1F2-834CA08586C2}"/>
    <hyperlink ref="B174" r:id="rId179" xr:uid="{04D7C5AF-BFB7-44FF-87D2-DA17C28EA57D}"/>
  </hyperlinks>
  <pageMargins left="0.7" right="0.7" top="0.75" bottom="0.75" header="0.3" footer="0.3"/>
  <tableParts count="1">
    <tablePart r:id="rId18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3632A-9283-4A7D-BEE4-375513FE751C}">
  <dimension ref="A1:M164"/>
  <sheetViews>
    <sheetView tabSelected="1" workbookViewId="0"/>
  </sheetViews>
  <sheetFormatPr defaultRowHeight="14.4" x14ac:dyDescent="0.3"/>
  <cols>
    <col min="1" max="1" width="41.88671875" bestFit="1" customWidth="1"/>
    <col min="2" max="3" width="80.88671875" bestFit="1" customWidth="1"/>
    <col min="4" max="6" width="28.109375" bestFit="1" customWidth="1"/>
    <col min="7" max="9" width="24.6640625" bestFit="1" customWidth="1"/>
    <col min="10" max="10" width="48.21875" bestFit="1" customWidth="1"/>
    <col min="11" max="11" width="22.77734375" bestFit="1" customWidth="1"/>
    <col min="12" max="12" width="31" bestFit="1" customWidth="1"/>
    <col min="13" max="13" width="9.77734375" bestFit="1" customWidth="1"/>
  </cols>
  <sheetData>
    <row r="1" spans="1:13" x14ac:dyDescent="0.3">
      <c r="A1" t="s">
        <v>87</v>
      </c>
      <c r="B1" t="s">
        <v>0</v>
      </c>
      <c r="C1" t="s">
        <v>36</v>
      </c>
      <c r="D1" t="s">
        <v>70</v>
      </c>
      <c r="E1" t="s">
        <v>71</v>
      </c>
      <c r="F1" t="s">
        <v>72</v>
      </c>
      <c r="G1" t="s">
        <v>75</v>
      </c>
      <c r="H1" t="s">
        <v>726</v>
      </c>
      <c r="I1" t="s">
        <v>727</v>
      </c>
      <c r="J1" t="s">
        <v>158</v>
      </c>
      <c r="K1" t="s">
        <v>638</v>
      </c>
      <c r="L1" t="s">
        <v>639</v>
      </c>
      <c r="M1" t="s">
        <v>648</v>
      </c>
    </row>
    <row r="2" spans="1:13" x14ac:dyDescent="0.3">
      <c r="A2" s="26" t="s">
        <v>88</v>
      </c>
      <c r="B2" s="26" t="s">
        <v>1</v>
      </c>
      <c r="C2" s="26" t="s">
        <v>2</v>
      </c>
      <c r="D2" s="26" t="s">
        <v>637</v>
      </c>
      <c r="E2" s="26" t="s">
        <v>728</v>
      </c>
      <c r="F2" s="26" t="s">
        <v>728</v>
      </c>
      <c r="G2" s="26" t="s">
        <v>728</v>
      </c>
      <c r="H2" s="26" t="s">
        <v>728</v>
      </c>
      <c r="I2" s="26" t="s">
        <v>728</v>
      </c>
      <c r="J2" s="26" t="s">
        <v>159</v>
      </c>
      <c r="K2">
        <v>1</v>
      </c>
      <c r="L2">
        <v>1</v>
      </c>
      <c r="M2" s="26" t="s">
        <v>649</v>
      </c>
    </row>
    <row r="3" spans="1:13" x14ac:dyDescent="0.3">
      <c r="A3" s="26" t="s">
        <v>89</v>
      </c>
      <c r="B3" s="26" t="s">
        <v>3</v>
      </c>
      <c r="C3" s="26" t="s">
        <v>4</v>
      </c>
      <c r="D3" s="26" t="s">
        <v>78</v>
      </c>
      <c r="E3" s="26" t="s">
        <v>729</v>
      </c>
      <c r="F3" s="26" t="s">
        <v>728</v>
      </c>
      <c r="G3" s="26" t="s">
        <v>728</v>
      </c>
      <c r="H3" s="26" t="s">
        <v>728</v>
      </c>
      <c r="I3" s="26" t="s">
        <v>728</v>
      </c>
      <c r="J3" s="26" t="s">
        <v>665</v>
      </c>
      <c r="K3">
        <v>2</v>
      </c>
      <c r="L3">
        <v>3</v>
      </c>
      <c r="M3" s="26" t="s">
        <v>650</v>
      </c>
    </row>
    <row r="4" spans="1:13" x14ac:dyDescent="0.3">
      <c r="A4" s="26" t="s">
        <v>91</v>
      </c>
      <c r="B4" s="26" t="s">
        <v>7</v>
      </c>
      <c r="C4" s="26" t="s">
        <v>8</v>
      </c>
      <c r="D4" s="26" t="s">
        <v>533</v>
      </c>
      <c r="E4" s="26" t="s">
        <v>728</v>
      </c>
      <c r="F4" s="26" t="s">
        <v>728</v>
      </c>
      <c r="G4" s="26" t="s">
        <v>728</v>
      </c>
      <c r="H4" s="26" t="s">
        <v>728</v>
      </c>
      <c r="I4" s="26" t="s">
        <v>728</v>
      </c>
      <c r="J4" s="26" t="s">
        <v>159</v>
      </c>
      <c r="K4">
        <v>1</v>
      </c>
      <c r="L4">
        <v>1</v>
      </c>
      <c r="M4" s="26" t="s">
        <v>649</v>
      </c>
    </row>
    <row r="5" spans="1:13" x14ac:dyDescent="0.3">
      <c r="A5" s="26" t="s">
        <v>92</v>
      </c>
      <c r="B5" s="26" t="s">
        <v>9</v>
      </c>
      <c r="C5" s="26" t="s">
        <v>148</v>
      </c>
      <c r="D5" s="26" t="s">
        <v>705</v>
      </c>
      <c r="E5" s="26" t="s">
        <v>728</v>
      </c>
      <c r="F5" s="26" t="s">
        <v>728</v>
      </c>
      <c r="G5" s="26" t="s">
        <v>728</v>
      </c>
      <c r="H5" s="26" t="s">
        <v>728</v>
      </c>
      <c r="I5" s="26" t="s">
        <v>728</v>
      </c>
      <c r="J5" s="26" t="s">
        <v>159</v>
      </c>
      <c r="K5">
        <v>1</v>
      </c>
      <c r="L5">
        <v>1</v>
      </c>
      <c r="M5" s="26" t="s">
        <v>649</v>
      </c>
    </row>
    <row r="6" spans="1:13" x14ac:dyDescent="0.3">
      <c r="A6" s="26" t="s">
        <v>93</v>
      </c>
      <c r="B6" s="26" t="s">
        <v>10</v>
      </c>
      <c r="C6" s="26" t="s">
        <v>11</v>
      </c>
      <c r="D6" s="26" t="s">
        <v>138</v>
      </c>
      <c r="E6" s="26" t="s">
        <v>728</v>
      </c>
      <c r="F6" s="26" t="s">
        <v>728</v>
      </c>
      <c r="G6" s="26" t="s">
        <v>728</v>
      </c>
      <c r="H6" s="26" t="s">
        <v>728</v>
      </c>
      <c r="I6" s="26" t="s">
        <v>728</v>
      </c>
      <c r="J6" s="26" t="s">
        <v>175</v>
      </c>
      <c r="K6">
        <v>1</v>
      </c>
      <c r="L6">
        <v>2</v>
      </c>
      <c r="M6" s="26" t="s">
        <v>649</v>
      </c>
    </row>
    <row r="7" spans="1:13" x14ac:dyDescent="0.3">
      <c r="A7" s="26" t="s">
        <v>94</v>
      </c>
      <c r="B7" s="26" t="s">
        <v>12</v>
      </c>
      <c r="C7" s="26" t="s">
        <v>13</v>
      </c>
      <c r="D7" s="26" t="s">
        <v>78</v>
      </c>
      <c r="E7" s="26" t="s">
        <v>728</v>
      </c>
      <c r="F7" s="26" t="s">
        <v>728</v>
      </c>
      <c r="G7" s="26" t="s">
        <v>728</v>
      </c>
      <c r="H7" s="26" t="s">
        <v>728</v>
      </c>
      <c r="I7" s="26" t="s">
        <v>728</v>
      </c>
      <c r="J7" s="26" t="s">
        <v>667</v>
      </c>
      <c r="K7">
        <v>1</v>
      </c>
      <c r="L7">
        <v>3</v>
      </c>
      <c r="M7" s="26" t="s">
        <v>650</v>
      </c>
    </row>
    <row r="8" spans="1:13" x14ac:dyDescent="0.3">
      <c r="A8" s="26" t="s">
        <v>95</v>
      </c>
      <c r="B8" s="26" t="s">
        <v>15</v>
      </c>
      <c r="C8" s="26" t="s">
        <v>14</v>
      </c>
      <c r="D8" s="26" t="s">
        <v>730</v>
      </c>
      <c r="E8" s="26" t="s">
        <v>728</v>
      </c>
      <c r="F8" s="26" t="s">
        <v>728</v>
      </c>
      <c r="G8" s="26" t="s">
        <v>728</v>
      </c>
      <c r="H8" s="26" t="s">
        <v>728</v>
      </c>
      <c r="I8" s="26" t="s">
        <v>728</v>
      </c>
      <c r="J8" s="26" t="s">
        <v>159</v>
      </c>
      <c r="K8">
        <v>1</v>
      </c>
      <c r="L8">
        <v>1</v>
      </c>
      <c r="M8" s="26" t="s">
        <v>649</v>
      </c>
    </row>
    <row r="9" spans="1:13" x14ac:dyDescent="0.3">
      <c r="A9" s="26" t="s">
        <v>96</v>
      </c>
      <c r="B9" s="26" t="s">
        <v>17</v>
      </c>
      <c r="C9" s="26" t="s">
        <v>16</v>
      </c>
      <c r="D9" s="26" t="s">
        <v>731</v>
      </c>
      <c r="E9" s="26" t="s">
        <v>660</v>
      </c>
      <c r="F9" s="26" t="s">
        <v>732</v>
      </c>
      <c r="G9" s="26" t="s">
        <v>659</v>
      </c>
      <c r="H9" s="26" t="s">
        <v>728</v>
      </c>
      <c r="I9" s="26" t="s">
        <v>728</v>
      </c>
      <c r="J9" s="26" t="s">
        <v>668</v>
      </c>
      <c r="K9">
        <v>4</v>
      </c>
      <c r="L9">
        <v>3</v>
      </c>
      <c r="M9" s="26" t="s">
        <v>649</v>
      </c>
    </row>
    <row r="10" spans="1:13" x14ac:dyDescent="0.3">
      <c r="A10" s="26" t="s">
        <v>97</v>
      </c>
      <c r="B10" s="26" t="s">
        <v>18</v>
      </c>
      <c r="C10" s="26" t="s">
        <v>19</v>
      </c>
      <c r="D10" s="26" t="s">
        <v>156</v>
      </c>
      <c r="E10" s="26" t="s">
        <v>728</v>
      </c>
      <c r="F10" s="26" t="s">
        <v>728</v>
      </c>
      <c r="G10" s="26" t="s">
        <v>728</v>
      </c>
      <c r="H10" s="26" t="s">
        <v>728</v>
      </c>
      <c r="I10" s="26" t="s">
        <v>728</v>
      </c>
      <c r="J10" s="26" t="s">
        <v>159</v>
      </c>
      <c r="K10">
        <v>1</v>
      </c>
      <c r="L10">
        <v>1</v>
      </c>
      <c r="M10" s="26" t="s">
        <v>649</v>
      </c>
    </row>
    <row r="11" spans="1:13" x14ac:dyDescent="0.3">
      <c r="A11" s="26" t="s">
        <v>98</v>
      </c>
      <c r="B11" s="26" t="s">
        <v>20</v>
      </c>
      <c r="C11" s="26" t="s">
        <v>21</v>
      </c>
      <c r="D11" s="26" t="s">
        <v>662</v>
      </c>
      <c r="E11" s="26" t="s">
        <v>728</v>
      </c>
      <c r="F11" s="26" t="s">
        <v>728</v>
      </c>
      <c r="G11" s="26" t="s">
        <v>728</v>
      </c>
      <c r="H11" s="26" t="s">
        <v>728</v>
      </c>
      <c r="I11" s="26" t="s">
        <v>728</v>
      </c>
      <c r="J11" s="26" t="s">
        <v>160</v>
      </c>
      <c r="K11">
        <v>1</v>
      </c>
      <c r="L11">
        <v>2</v>
      </c>
      <c r="M11" s="26" t="s">
        <v>649</v>
      </c>
    </row>
    <row r="12" spans="1:13" x14ac:dyDescent="0.3">
      <c r="A12" s="26" t="s">
        <v>99</v>
      </c>
      <c r="B12" s="26" t="s">
        <v>23</v>
      </c>
      <c r="C12" s="26" t="s">
        <v>22</v>
      </c>
      <c r="D12" s="26" t="s">
        <v>147</v>
      </c>
      <c r="E12" s="26" t="s">
        <v>142</v>
      </c>
      <c r="F12" s="26" t="s">
        <v>728</v>
      </c>
      <c r="G12" s="26" t="s">
        <v>728</v>
      </c>
      <c r="H12" s="26" t="s">
        <v>728</v>
      </c>
      <c r="I12" s="26" t="s">
        <v>728</v>
      </c>
      <c r="J12" s="26" t="s">
        <v>175</v>
      </c>
      <c r="K12">
        <v>2</v>
      </c>
      <c r="L12">
        <v>2</v>
      </c>
      <c r="M12" s="26" t="s">
        <v>649</v>
      </c>
    </row>
    <row r="13" spans="1:13" x14ac:dyDescent="0.3">
      <c r="A13" s="26" t="s">
        <v>100</v>
      </c>
      <c r="B13" s="26" t="s">
        <v>25</v>
      </c>
      <c r="C13" s="26" t="s">
        <v>24</v>
      </c>
      <c r="D13" s="26" t="s">
        <v>147</v>
      </c>
      <c r="E13" s="26" t="s">
        <v>728</v>
      </c>
      <c r="F13" s="26" t="s">
        <v>728</v>
      </c>
      <c r="G13" s="26" t="s">
        <v>728</v>
      </c>
      <c r="H13" s="26" t="s">
        <v>728</v>
      </c>
      <c r="I13" s="26" t="s">
        <v>728</v>
      </c>
      <c r="J13" s="26" t="s">
        <v>175</v>
      </c>
      <c r="K13">
        <v>1</v>
      </c>
      <c r="L13">
        <v>2</v>
      </c>
      <c r="M13" s="26" t="s">
        <v>649</v>
      </c>
    </row>
    <row r="14" spans="1:13" x14ac:dyDescent="0.3">
      <c r="A14" s="26" t="s">
        <v>102</v>
      </c>
      <c r="B14" s="26" t="s">
        <v>29</v>
      </c>
      <c r="C14" s="26" t="s">
        <v>28</v>
      </c>
      <c r="D14" s="26" t="s">
        <v>163</v>
      </c>
      <c r="E14" s="26" t="s">
        <v>728</v>
      </c>
      <c r="F14" s="26" t="s">
        <v>728</v>
      </c>
      <c r="G14" s="26" t="s">
        <v>728</v>
      </c>
      <c r="H14" s="26" t="s">
        <v>728</v>
      </c>
      <c r="I14" s="26" t="s">
        <v>728</v>
      </c>
      <c r="J14" s="26" t="s">
        <v>162</v>
      </c>
      <c r="K14">
        <v>1</v>
      </c>
      <c r="L14">
        <v>1</v>
      </c>
      <c r="M14" s="26" t="s">
        <v>649</v>
      </c>
    </row>
    <row r="15" spans="1:13" x14ac:dyDescent="0.3">
      <c r="A15" s="26" t="s">
        <v>104</v>
      </c>
      <c r="B15" s="26" t="s">
        <v>32</v>
      </c>
      <c r="C15" s="26" t="s">
        <v>33</v>
      </c>
      <c r="D15" s="26" t="s">
        <v>78</v>
      </c>
      <c r="E15" s="26" t="s">
        <v>164</v>
      </c>
      <c r="F15" s="26" t="s">
        <v>165</v>
      </c>
      <c r="G15" s="26" t="s">
        <v>166</v>
      </c>
      <c r="H15" s="26" t="s">
        <v>728</v>
      </c>
      <c r="I15" s="26" t="s">
        <v>728</v>
      </c>
      <c r="J15" s="26" t="s">
        <v>669</v>
      </c>
      <c r="K15">
        <v>4</v>
      </c>
      <c r="L15">
        <v>4</v>
      </c>
      <c r="M15" s="26" t="s">
        <v>650</v>
      </c>
    </row>
    <row r="16" spans="1:13" x14ac:dyDescent="0.3">
      <c r="A16" s="26" t="s">
        <v>105</v>
      </c>
      <c r="B16" s="26" t="s">
        <v>34</v>
      </c>
      <c r="C16" s="26" t="s">
        <v>35</v>
      </c>
      <c r="D16" s="26" t="s">
        <v>167</v>
      </c>
      <c r="E16" s="26" t="s">
        <v>728</v>
      </c>
      <c r="F16" s="26" t="s">
        <v>728</v>
      </c>
      <c r="G16" s="26" t="s">
        <v>728</v>
      </c>
      <c r="H16" s="26" t="s">
        <v>728</v>
      </c>
      <c r="I16" s="26" t="s">
        <v>728</v>
      </c>
      <c r="J16" s="26" t="s">
        <v>162</v>
      </c>
      <c r="K16">
        <v>1</v>
      </c>
      <c r="L16">
        <v>1</v>
      </c>
      <c r="M16" s="26" t="s">
        <v>650</v>
      </c>
    </row>
    <row r="17" spans="1:13" x14ac:dyDescent="0.3">
      <c r="A17" s="26" t="s">
        <v>106</v>
      </c>
      <c r="B17" s="26" t="s">
        <v>38</v>
      </c>
      <c r="C17" s="26" t="s">
        <v>37</v>
      </c>
      <c r="D17" s="26" t="s">
        <v>728</v>
      </c>
      <c r="E17" s="26" t="s">
        <v>728</v>
      </c>
      <c r="F17" s="26" t="s">
        <v>728</v>
      </c>
      <c r="G17" s="26" t="s">
        <v>728</v>
      </c>
      <c r="H17" s="26" t="s">
        <v>728</v>
      </c>
      <c r="I17" s="26" t="s">
        <v>728</v>
      </c>
      <c r="J17" s="26" t="s">
        <v>160</v>
      </c>
      <c r="K17">
        <v>0</v>
      </c>
      <c r="L17">
        <v>2</v>
      </c>
      <c r="M17" s="26" t="s">
        <v>650</v>
      </c>
    </row>
    <row r="18" spans="1:13" x14ac:dyDescent="0.3">
      <c r="A18" s="26" t="s">
        <v>107</v>
      </c>
      <c r="B18" s="26" t="s">
        <v>40</v>
      </c>
      <c r="C18" s="26" t="s">
        <v>39</v>
      </c>
      <c r="D18" s="26" t="s">
        <v>169</v>
      </c>
      <c r="E18" s="26" t="s">
        <v>728</v>
      </c>
      <c r="F18" s="26" t="s">
        <v>728</v>
      </c>
      <c r="G18" s="26" t="s">
        <v>728</v>
      </c>
      <c r="H18" s="26" t="s">
        <v>728</v>
      </c>
      <c r="I18" s="26" t="s">
        <v>728</v>
      </c>
      <c r="J18" s="26" t="s">
        <v>171</v>
      </c>
      <c r="K18">
        <v>1</v>
      </c>
      <c r="L18">
        <v>1</v>
      </c>
      <c r="M18" s="26" t="s">
        <v>650</v>
      </c>
    </row>
    <row r="19" spans="1:13" x14ac:dyDescent="0.3">
      <c r="A19" s="26" t="s">
        <v>108</v>
      </c>
      <c r="B19" s="26" t="s">
        <v>41</v>
      </c>
      <c r="C19" s="26" t="s">
        <v>42</v>
      </c>
      <c r="D19" s="26" t="s">
        <v>170</v>
      </c>
      <c r="E19" s="26" t="s">
        <v>728</v>
      </c>
      <c r="F19" s="26" t="s">
        <v>728</v>
      </c>
      <c r="G19" s="26" t="s">
        <v>728</v>
      </c>
      <c r="H19" s="26" t="s">
        <v>728</v>
      </c>
      <c r="I19" s="26" t="s">
        <v>728</v>
      </c>
      <c r="J19" s="26" t="s">
        <v>171</v>
      </c>
      <c r="K19">
        <v>1</v>
      </c>
      <c r="L19">
        <v>1</v>
      </c>
      <c r="M19" s="26" t="s">
        <v>650</v>
      </c>
    </row>
    <row r="20" spans="1:13" x14ac:dyDescent="0.3">
      <c r="A20" s="26" t="s">
        <v>109</v>
      </c>
      <c r="B20" s="26" t="s">
        <v>43</v>
      </c>
      <c r="C20" s="26" t="s">
        <v>44</v>
      </c>
      <c r="D20" s="26" t="s">
        <v>164</v>
      </c>
      <c r="E20" s="26" t="s">
        <v>142</v>
      </c>
      <c r="F20" s="26" t="s">
        <v>728</v>
      </c>
      <c r="G20" s="26" t="s">
        <v>728</v>
      </c>
      <c r="H20" s="26" t="s">
        <v>728</v>
      </c>
      <c r="I20" s="26" t="s">
        <v>728</v>
      </c>
      <c r="J20" s="26" t="s">
        <v>665</v>
      </c>
      <c r="K20">
        <v>2</v>
      </c>
      <c r="L20">
        <v>3</v>
      </c>
      <c r="M20" s="26" t="s">
        <v>650</v>
      </c>
    </row>
    <row r="21" spans="1:13" x14ac:dyDescent="0.3">
      <c r="A21" s="26" t="s">
        <v>110</v>
      </c>
      <c r="B21" s="26" t="s">
        <v>45</v>
      </c>
      <c r="C21" s="26" t="s">
        <v>46</v>
      </c>
      <c r="D21" s="26" t="s">
        <v>78</v>
      </c>
      <c r="E21" s="26" t="s">
        <v>173</v>
      </c>
      <c r="F21" s="26" t="s">
        <v>138</v>
      </c>
      <c r="G21" s="26" t="s">
        <v>164</v>
      </c>
      <c r="H21" s="26" t="s">
        <v>728</v>
      </c>
      <c r="I21" s="26" t="s">
        <v>728</v>
      </c>
      <c r="J21" s="26" t="s">
        <v>670</v>
      </c>
      <c r="K21">
        <v>4</v>
      </c>
      <c r="L21">
        <v>4</v>
      </c>
      <c r="M21" s="26" t="s">
        <v>650</v>
      </c>
    </row>
    <row r="22" spans="1:13" x14ac:dyDescent="0.3">
      <c r="A22" s="26" t="s">
        <v>111</v>
      </c>
      <c r="B22" s="26" t="s">
        <v>47</v>
      </c>
      <c r="C22" s="26" t="s">
        <v>48</v>
      </c>
      <c r="D22" s="26" t="s">
        <v>728</v>
      </c>
      <c r="E22" s="26" t="s">
        <v>728</v>
      </c>
      <c r="F22" s="26" t="s">
        <v>728</v>
      </c>
      <c r="G22" s="26" t="s">
        <v>728</v>
      </c>
      <c r="H22" s="26" t="s">
        <v>728</v>
      </c>
      <c r="I22" s="26" t="s">
        <v>728</v>
      </c>
      <c r="J22" s="26" t="s">
        <v>728</v>
      </c>
      <c r="K22">
        <v>0</v>
      </c>
      <c r="L22">
        <v>0</v>
      </c>
      <c r="M22" s="26" t="s">
        <v>650</v>
      </c>
    </row>
    <row r="23" spans="1:13" x14ac:dyDescent="0.3">
      <c r="A23" s="26" t="s">
        <v>112</v>
      </c>
      <c r="B23" s="26" t="s">
        <v>49</v>
      </c>
      <c r="C23" s="26" t="s">
        <v>50</v>
      </c>
      <c r="D23" s="26" t="s">
        <v>335</v>
      </c>
      <c r="E23" s="26" t="s">
        <v>728</v>
      </c>
      <c r="F23" s="26" t="s">
        <v>728</v>
      </c>
      <c r="G23" s="26" t="s">
        <v>728</v>
      </c>
      <c r="H23" s="26" t="s">
        <v>728</v>
      </c>
      <c r="I23" s="26" t="s">
        <v>728</v>
      </c>
      <c r="J23" s="26" t="s">
        <v>177</v>
      </c>
      <c r="K23">
        <v>1</v>
      </c>
      <c r="L23">
        <v>1</v>
      </c>
      <c r="M23" s="26" t="s">
        <v>651</v>
      </c>
    </row>
    <row r="24" spans="1:13" x14ac:dyDescent="0.3">
      <c r="A24" s="26" t="s">
        <v>113</v>
      </c>
      <c r="B24" s="26" t="s">
        <v>51</v>
      </c>
      <c r="C24" s="26" t="s">
        <v>52</v>
      </c>
      <c r="D24" s="26" t="s">
        <v>728</v>
      </c>
      <c r="E24" s="26" t="s">
        <v>728</v>
      </c>
      <c r="F24" s="26" t="s">
        <v>728</v>
      </c>
      <c r="G24" s="26" t="s">
        <v>728</v>
      </c>
      <c r="H24" s="26" t="s">
        <v>728</v>
      </c>
      <c r="I24" s="26" t="s">
        <v>728</v>
      </c>
      <c r="J24" s="26" t="s">
        <v>728</v>
      </c>
      <c r="K24">
        <v>0</v>
      </c>
      <c r="L24">
        <v>0</v>
      </c>
      <c r="M24" s="26" t="s">
        <v>649</v>
      </c>
    </row>
    <row r="25" spans="1:13" x14ac:dyDescent="0.3">
      <c r="A25" s="26" t="s">
        <v>114</v>
      </c>
      <c r="B25" s="26" t="s">
        <v>53</v>
      </c>
      <c r="C25" s="26" t="s">
        <v>53</v>
      </c>
      <c r="D25" s="26" t="s">
        <v>733</v>
      </c>
      <c r="E25" s="26" t="s">
        <v>728</v>
      </c>
      <c r="F25" s="26" t="s">
        <v>728</v>
      </c>
      <c r="G25" s="26" t="s">
        <v>728</v>
      </c>
      <c r="H25" s="26" t="s">
        <v>728</v>
      </c>
      <c r="I25" s="26" t="s">
        <v>728</v>
      </c>
      <c r="J25" s="26" t="s">
        <v>171</v>
      </c>
      <c r="K25">
        <v>1</v>
      </c>
      <c r="L25">
        <v>1</v>
      </c>
      <c r="M25" s="26" t="s">
        <v>651</v>
      </c>
    </row>
    <row r="26" spans="1:13" x14ac:dyDescent="0.3">
      <c r="A26" s="26" t="s">
        <v>115</v>
      </c>
      <c r="B26" s="26" t="s">
        <v>54</v>
      </c>
      <c r="C26" s="26" t="s">
        <v>55</v>
      </c>
      <c r="D26" s="26" t="s">
        <v>179</v>
      </c>
      <c r="E26" s="26" t="s">
        <v>728</v>
      </c>
      <c r="F26" s="26" t="s">
        <v>164</v>
      </c>
      <c r="G26" s="26" t="s">
        <v>680</v>
      </c>
      <c r="H26" s="26" t="s">
        <v>728</v>
      </c>
      <c r="I26" s="26" t="s">
        <v>728</v>
      </c>
      <c r="J26" s="26" t="s">
        <v>162</v>
      </c>
      <c r="K26">
        <v>3</v>
      </c>
      <c r="L26">
        <v>1</v>
      </c>
      <c r="M26" s="26" t="s">
        <v>650</v>
      </c>
    </row>
    <row r="27" spans="1:13" x14ac:dyDescent="0.3">
      <c r="A27" s="26" t="s">
        <v>116</v>
      </c>
      <c r="B27" s="26" t="s">
        <v>56</v>
      </c>
      <c r="C27" s="26" t="s">
        <v>57</v>
      </c>
      <c r="D27" s="26" t="s">
        <v>734</v>
      </c>
      <c r="E27" s="26" t="s">
        <v>728</v>
      </c>
      <c r="F27" s="26" t="s">
        <v>728</v>
      </c>
      <c r="G27" s="26" t="s">
        <v>728</v>
      </c>
      <c r="H27" s="26" t="s">
        <v>728</v>
      </c>
      <c r="I27" s="26" t="s">
        <v>728</v>
      </c>
      <c r="J27" s="26" t="s">
        <v>171</v>
      </c>
      <c r="K27">
        <v>1</v>
      </c>
      <c r="L27">
        <v>1</v>
      </c>
      <c r="M27" s="26" t="s">
        <v>650</v>
      </c>
    </row>
    <row r="28" spans="1:13" x14ac:dyDescent="0.3">
      <c r="A28" s="26" t="s">
        <v>118</v>
      </c>
      <c r="B28" s="26" t="s">
        <v>60</v>
      </c>
      <c r="C28" s="26" t="s">
        <v>61</v>
      </c>
      <c r="D28" s="26" t="s">
        <v>728</v>
      </c>
      <c r="E28" s="26" t="s">
        <v>728</v>
      </c>
      <c r="F28" s="26" t="s">
        <v>728</v>
      </c>
      <c r="G28" s="26" t="s">
        <v>728</v>
      </c>
      <c r="H28" s="26" t="s">
        <v>728</v>
      </c>
      <c r="I28" s="26" t="s">
        <v>728</v>
      </c>
      <c r="J28" s="26" t="s">
        <v>728</v>
      </c>
      <c r="K28">
        <v>0</v>
      </c>
      <c r="L28">
        <v>0</v>
      </c>
      <c r="M28" s="26" t="s">
        <v>650</v>
      </c>
    </row>
    <row r="29" spans="1:13" x14ac:dyDescent="0.3">
      <c r="A29" s="26" t="s">
        <v>119</v>
      </c>
      <c r="B29" s="26" t="s">
        <v>63</v>
      </c>
      <c r="C29" s="26" t="s">
        <v>62</v>
      </c>
      <c r="D29" s="26" t="s">
        <v>183</v>
      </c>
      <c r="E29" s="26" t="s">
        <v>728</v>
      </c>
      <c r="F29" s="26" t="s">
        <v>728</v>
      </c>
      <c r="G29" s="26" t="s">
        <v>728</v>
      </c>
      <c r="H29" s="26" t="s">
        <v>728</v>
      </c>
      <c r="I29" s="26" t="s">
        <v>728</v>
      </c>
      <c r="J29" s="26" t="s">
        <v>177</v>
      </c>
      <c r="K29">
        <v>1</v>
      </c>
      <c r="L29">
        <v>1</v>
      </c>
      <c r="M29" s="26" t="s">
        <v>650</v>
      </c>
    </row>
    <row r="30" spans="1:13" x14ac:dyDescent="0.3">
      <c r="A30" s="26" t="s">
        <v>120</v>
      </c>
      <c r="B30" s="26" t="s">
        <v>65</v>
      </c>
      <c r="C30" s="26" t="s">
        <v>64</v>
      </c>
      <c r="D30" s="26" t="s">
        <v>731</v>
      </c>
      <c r="E30" s="26" t="s">
        <v>728</v>
      </c>
      <c r="F30" s="26" t="s">
        <v>728</v>
      </c>
      <c r="G30" s="26" t="s">
        <v>728</v>
      </c>
      <c r="H30" s="26" t="s">
        <v>728</v>
      </c>
      <c r="I30" s="26" t="s">
        <v>728</v>
      </c>
      <c r="J30" s="26" t="s">
        <v>675</v>
      </c>
      <c r="K30">
        <v>1</v>
      </c>
      <c r="L30">
        <v>2</v>
      </c>
      <c r="M30" s="26" t="s">
        <v>650</v>
      </c>
    </row>
    <row r="31" spans="1:13" x14ac:dyDescent="0.3">
      <c r="A31" s="26" t="s">
        <v>121</v>
      </c>
      <c r="B31" s="26" t="s">
        <v>66</v>
      </c>
      <c r="C31" s="26" t="s">
        <v>67</v>
      </c>
      <c r="D31" s="26" t="s">
        <v>420</v>
      </c>
      <c r="E31" s="26" t="s">
        <v>735</v>
      </c>
      <c r="F31" s="26" t="s">
        <v>728</v>
      </c>
      <c r="G31" s="26" t="s">
        <v>728</v>
      </c>
      <c r="H31" s="26" t="s">
        <v>728</v>
      </c>
      <c r="I31" s="26" t="s">
        <v>728</v>
      </c>
      <c r="J31" s="26" t="s">
        <v>671</v>
      </c>
      <c r="K31">
        <v>2</v>
      </c>
      <c r="L31">
        <v>3</v>
      </c>
      <c r="M31" s="26" t="s">
        <v>650</v>
      </c>
    </row>
    <row r="32" spans="1:13" x14ac:dyDescent="0.3">
      <c r="A32" s="26" t="s">
        <v>122</v>
      </c>
      <c r="B32" s="26" t="s">
        <v>68</v>
      </c>
      <c r="C32" s="26" t="s">
        <v>69</v>
      </c>
      <c r="D32" s="26" t="s">
        <v>420</v>
      </c>
      <c r="E32" s="26" t="s">
        <v>73</v>
      </c>
      <c r="F32" s="26" t="s">
        <v>728</v>
      </c>
      <c r="G32" s="26" t="s">
        <v>659</v>
      </c>
      <c r="H32" s="26" t="s">
        <v>733</v>
      </c>
      <c r="I32" s="26" t="s">
        <v>736</v>
      </c>
      <c r="J32" s="26" t="s">
        <v>670</v>
      </c>
      <c r="K32">
        <v>5</v>
      </c>
      <c r="L32">
        <v>4</v>
      </c>
      <c r="M32" s="26" t="s">
        <v>650</v>
      </c>
    </row>
    <row r="33" spans="1:13" x14ac:dyDescent="0.3">
      <c r="A33" s="26" t="s">
        <v>123</v>
      </c>
      <c r="B33" s="26" t="s">
        <v>76</v>
      </c>
      <c r="C33" s="26" t="s">
        <v>77</v>
      </c>
      <c r="D33" s="26" t="s">
        <v>78</v>
      </c>
      <c r="E33" s="26" t="s">
        <v>728</v>
      </c>
      <c r="F33" s="26" t="s">
        <v>728</v>
      </c>
      <c r="G33" s="26" t="s">
        <v>728</v>
      </c>
      <c r="H33" s="26" t="s">
        <v>728</v>
      </c>
      <c r="I33" s="26" t="s">
        <v>728</v>
      </c>
      <c r="J33" s="26" t="s">
        <v>667</v>
      </c>
      <c r="K33">
        <v>1</v>
      </c>
      <c r="L33">
        <v>3</v>
      </c>
      <c r="M33" s="26" t="s">
        <v>650</v>
      </c>
    </row>
    <row r="34" spans="1:13" x14ac:dyDescent="0.3">
      <c r="A34" s="26" t="s">
        <v>124</v>
      </c>
      <c r="B34" s="26" t="s">
        <v>79</v>
      </c>
      <c r="C34" s="26" t="s">
        <v>80</v>
      </c>
      <c r="D34" s="26" t="s">
        <v>461</v>
      </c>
      <c r="E34" s="26" t="s">
        <v>728</v>
      </c>
      <c r="F34" s="26" t="s">
        <v>728</v>
      </c>
      <c r="G34" s="26" t="s">
        <v>728</v>
      </c>
      <c r="H34" s="26" t="s">
        <v>728</v>
      </c>
      <c r="I34" s="26" t="s">
        <v>728</v>
      </c>
      <c r="J34" s="26" t="s">
        <v>493</v>
      </c>
      <c r="K34">
        <v>1</v>
      </c>
      <c r="L34">
        <v>2</v>
      </c>
      <c r="M34" s="26" t="s">
        <v>650</v>
      </c>
    </row>
    <row r="35" spans="1:13" x14ac:dyDescent="0.3">
      <c r="A35" s="26" t="s">
        <v>125</v>
      </c>
      <c r="B35" s="26" t="s">
        <v>82</v>
      </c>
      <c r="C35" s="26" t="s">
        <v>83</v>
      </c>
      <c r="D35" s="26" t="s">
        <v>734</v>
      </c>
      <c r="E35" s="26" t="s">
        <v>728</v>
      </c>
      <c r="F35" s="26" t="s">
        <v>728</v>
      </c>
      <c r="G35" s="26" t="s">
        <v>728</v>
      </c>
      <c r="H35" s="26" t="s">
        <v>728</v>
      </c>
      <c r="I35" s="26" t="s">
        <v>728</v>
      </c>
      <c r="J35" s="26" t="s">
        <v>171</v>
      </c>
      <c r="K35">
        <v>1</v>
      </c>
      <c r="L35">
        <v>1</v>
      </c>
      <c r="M35" s="26" t="s">
        <v>650</v>
      </c>
    </row>
    <row r="36" spans="1:13" x14ac:dyDescent="0.3">
      <c r="A36" s="26" t="s">
        <v>126</v>
      </c>
      <c r="B36" s="26" t="s">
        <v>84</v>
      </c>
      <c r="C36" s="26" t="s">
        <v>85</v>
      </c>
      <c r="D36" s="26" t="s">
        <v>86</v>
      </c>
      <c r="E36" s="26" t="s">
        <v>728</v>
      </c>
      <c r="F36" s="26" t="s">
        <v>728</v>
      </c>
      <c r="G36" s="26" t="s">
        <v>728</v>
      </c>
      <c r="H36" s="26" t="s">
        <v>728</v>
      </c>
      <c r="I36" s="26" t="s">
        <v>728</v>
      </c>
      <c r="J36" s="26" t="s">
        <v>667</v>
      </c>
      <c r="K36">
        <v>1</v>
      </c>
      <c r="L36">
        <v>3</v>
      </c>
      <c r="M36" s="26" t="s">
        <v>650</v>
      </c>
    </row>
    <row r="37" spans="1:13" x14ac:dyDescent="0.3">
      <c r="A37" s="26" t="s">
        <v>128</v>
      </c>
      <c r="B37" s="26" t="s">
        <v>127</v>
      </c>
      <c r="C37" s="26" t="s">
        <v>728</v>
      </c>
      <c r="D37" s="26" t="s">
        <v>247</v>
      </c>
      <c r="E37" s="26" t="s">
        <v>728</v>
      </c>
      <c r="F37" s="26" t="s">
        <v>728</v>
      </c>
      <c r="G37" s="26" t="s">
        <v>728</v>
      </c>
      <c r="H37" s="26" t="s">
        <v>728</v>
      </c>
      <c r="I37" s="26" t="s">
        <v>728</v>
      </c>
      <c r="J37" s="26" t="s">
        <v>728</v>
      </c>
      <c r="K37">
        <v>1</v>
      </c>
      <c r="L37">
        <v>0</v>
      </c>
      <c r="M37" s="26" t="s">
        <v>649</v>
      </c>
    </row>
    <row r="38" spans="1:13" x14ac:dyDescent="0.3">
      <c r="A38" s="26" t="s">
        <v>131</v>
      </c>
      <c r="B38" s="26" t="s">
        <v>130</v>
      </c>
      <c r="C38" s="26" t="s">
        <v>151</v>
      </c>
      <c r="D38" s="26" t="s">
        <v>461</v>
      </c>
      <c r="E38" s="26" t="s">
        <v>737</v>
      </c>
      <c r="F38" s="26" t="s">
        <v>728</v>
      </c>
      <c r="G38" s="26" t="s">
        <v>728</v>
      </c>
      <c r="H38" s="26" t="s">
        <v>728</v>
      </c>
      <c r="I38" s="26" t="s">
        <v>728</v>
      </c>
      <c r="J38" s="26" t="s">
        <v>673</v>
      </c>
      <c r="K38">
        <v>2</v>
      </c>
      <c r="L38">
        <v>3</v>
      </c>
      <c r="M38" s="26" t="s">
        <v>650</v>
      </c>
    </row>
    <row r="39" spans="1:13" x14ac:dyDescent="0.3">
      <c r="A39" s="26" t="s">
        <v>133</v>
      </c>
      <c r="B39" s="26" t="s">
        <v>134</v>
      </c>
      <c r="C39" s="26" t="s">
        <v>135</v>
      </c>
      <c r="D39" s="26" t="s">
        <v>78</v>
      </c>
      <c r="E39" s="26" t="s">
        <v>461</v>
      </c>
      <c r="F39" s="26" t="s">
        <v>728</v>
      </c>
      <c r="G39" s="26" t="s">
        <v>728</v>
      </c>
      <c r="H39" s="26" t="s">
        <v>728</v>
      </c>
      <c r="I39" s="26" t="s">
        <v>728</v>
      </c>
      <c r="J39" s="26" t="s">
        <v>674</v>
      </c>
      <c r="K39">
        <v>2</v>
      </c>
      <c r="L39">
        <v>4</v>
      </c>
      <c r="M39" s="26" t="s">
        <v>650</v>
      </c>
    </row>
    <row r="40" spans="1:13" x14ac:dyDescent="0.3">
      <c r="A40" s="26" t="s">
        <v>137</v>
      </c>
      <c r="B40" s="26" t="s">
        <v>136</v>
      </c>
      <c r="C40" s="26" t="s">
        <v>139</v>
      </c>
      <c r="D40" s="26" t="s">
        <v>138</v>
      </c>
      <c r="E40" s="26" t="s">
        <v>461</v>
      </c>
      <c r="F40" s="26" t="s">
        <v>728</v>
      </c>
      <c r="G40" s="26" t="s">
        <v>728</v>
      </c>
      <c r="H40" s="26" t="s">
        <v>728</v>
      </c>
      <c r="I40" s="26" t="s">
        <v>728</v>
      </c>
      <c r="J40" s="26" t="s">
        <v>583</v>
      </c>
      <c r="K40">
        <v>2</v>
      </c>
      <c r="L40">
        <v>3</v>
      </c>
      <c r="M40" s="26" t="s">
        <v>728</v>
      </c>
    </row>
    <row r="41" spans="1:13" x14ac:dyDescent="0.3">
      <c r="A41" s="26" t="s">
        <v>141</v>
      </c>
      <c r="B41" s="26" t="s">
        <v>140</v>
      </c>
      <c r="C41" s="26" t="s">
        <v>144</v>
      </c>
      <c r="D41" s="26" t="s">
        <v>142</v>
      </c>
      <c r="E41" s="26" t="s">
        <v>728</v>
      </c>
      <c r="F41" s="26" t="s">
        <v>728</v>
      </c>
      <c r="G41" s="26" t="s">
        <v>728</v>
      </c>
      <c r="H41" s="26" t="s">
        <v>728</v>
      </c>
      <c r="I41" s="26" t="s">
        <v>728</v>
      </c>
      <c r="J41" s="26" t="s">
        <v>238</v>
      </c>
      <c r="K41">
        <v>1</v>
      </c>
      <c r="L41">
        <v>2</v>
      </c>
      <c r="M41" s="26" t="s">
        <v>728</v>
      </c>
    </row>
    <row r="42" spans="1:13" x14ac:dyDescent="0.3">
      <c r="A42" s="26" t="s">
        <v>145</v>
      </c>
      <c r="B42" s="26" t="s">
        <v>146</v>
      </c>
      <c r="C42" s="26" t="s">
        <v>146</v>
      </c>
      <c r="D42" s="26" t="s">
        <v>147</v>
      </c>
      <c r="E42" s="26" t="s">
        <v>728</v>
      </c>
      <c r="F42" s="26" t="s">
        <v>728</v>
      </c>
      <c r="G42" s="26" t="s">
        <v>728</v>
      </c>
      <c r="H42" s="26" t="s">
        <v>728</v>
      </c>
      <c r="I42" s="26" t="s">
        <v>728</v>
      </c>
      <c r="J42" s="26" t="s">
        <v>175</v>
      </c>
      <c r="K42">
        <v>1</v>
      </c>
      <c r="L42">
        <v>2</v>
      </c>
      <c r="M42" s="26" t="s">
        <v>728</v>
      </c>
    </row>
    <row r="43" spans="1:13" x14ac:dyDescent="0.3">
      <c r="A43" s="26" t="s">
        <v>150</v>
      </c>
      <c r="B43" s="26" t="s">
        <v>149</v>
      </c>
      <c r="C43" s="26" t="s">
        <v>728</v>
      </c>
      <c r="D43" s="26" t="s">
        <v>147</v>
      </c>
      <c r="E43" s="26" t="s">
        <v>728</v>
      </c>
      <c r="F43" s="26" t="s">
        <v>728</v>
      </c>
      <c r="G43" s="26" t="s">
        <v>728</v>
      </c>
      <c r="H43" s="26" t="s">
        <v>728</v>
      </c>
      <c r="I43" s="26" t="s">
        <v>728</v>
      </c>
      <c r="J43" s="26" t="s">
        <v>175</v>
      </c>
      <c r="K43">
        <v>1</v>
      </c>
      <c r="L43">
        <v>2</v>
      </c>
      <c r="M43" s="26" t="s">
        <v>728</v>
      </c>
    </row>
    <row r="44" spans="1:13" x14ac:dyDescent="0.3">
      <c r="A44" s="26" t="s">
        <v>187</v>
      </c>
      <c r="B44" s="26" t="s">
        <v>186</v>
      </c>
      <c r="C44" s="26" t="s">
        <v>188</v>
      </c>
      <c r="D44" s="26" t="s">
        <v>78</v>
      </c>
      <c r="E44" s="26" t="s">
        <v>738</v>
      </c>
      <c r="F44" s="26" t="s">
        <v>728</v>
      </c>
      <c r="G44" s="26" t="s">
        <v>728</v>
      </c>
      <c r="H44" s="26" t="s">
        <v>728</v>
      </c>
      <c r="I44" s="26" t="s">
        <v>728</v>
      </c>
      <c r="J44" s="26" t="s">
        <v>676</v>
      </c>
      <c r="K44">
        <v>2</v>
      </c>
      <c r="L44">
        <v>3</v>
      </c>
      <c r="M44" s="26" t="s">
        <v>650</v>
      </c>
    </row>
    <row r="45" spans="1:13" x14ac:dyDescent="0.3">
      <c r="A45" s="26" t="s">
        <v>191</v>
      </c>
      <c r="B45" s="26" t="s">
        <v>190</v>
      </c>
      <c r="C45" s="26" t="s">
        <v>728</v>
      </c>
      <c r="D45" s="26" t="s">
        <v>734</v>
      </c>
      <c r="E45" s="26" t="s">
        <v>728</v>
      </c>
      <c r="F45" s="26" t="s">
        <v>728</v>
      </c>
      <c r="G45" s="26" t="s">
        <v>728</v>
      </c>
      <c r="H45" s="26" t="s">
        <v>728</v>
      </c>
      <c r="I45" s="26" t="s">
        <v>728</v>
      </c>
      <c r="J45" s="26" t="s">
        <v>171</v>
      </c>
      <c r="K45">
        <v>1</v>
      </c>
      <c r="L45">
        <v>1</v>
      </c>
      <c r="M45" s="26" t="s">
        <v>650</v>
      </c>
    </row>
    <row r="46" spans="1:13" x14ac:dyDescent="0.3">
      <c r="A46" s="26" t="s">
        <v>192</v>
      </c>
      <c r="B46" s="26" t="s">
        <v>193</v>
      </c>
      <c r="C46" s="26" t="s">
        <v>194</v>
      </c>
      <c r="D46" s="26" t="s">
        <v>731</v>
      </c>
      <c r="E46" s="26" t="s">
        <v>164</v>
      </c>
      <c r="F46" s="26" t="s">
        <v>728</v>
      </c>
      <c r="G46" s="26" t="s">
        <v>728</v>
      </c>
      <c r="H46" s="26" t="s">
        <v>728</v>
      </c>
      <c r="I46" s="26" t="s">
        <v>728</v>
      </c>
      <c r="J46" s="26" t="s">
        <v>677</v>
      </c>
      <c r="K46">
        <v>2</v>
      </c>
      <c r="L46">
        <v>4</v>
      </c>
      <c r="M46" s="26" t="s">
        <v>650</v>
      </c>
    </row>
    <row r="47" spans="1:13" x14ac:dyDescent="0.3">
      <c r="A47" s="26" t="s">
        <v>196</v>
      </c>
      <c r="B47" s="26" t="s">
        <v>195</v>
      </c>
      <c r="C47" s="26" t="s">
        <v>197</v>
      </c>
      <c r="D47" s="26" t="s">
        <v>78</v>
      </c>
      <c r="E47" s="26" t="s">
        <v>164</v>
      </c>
      <c r="F47" s="26" t="s">
        <v>728</v>
      </c>
      <c r="G47" s="26" t="s">
        <v>728</v>
      </c>
      <c r="H47" s="26" t="s">
        <v>728</v>
      </c>
      <c r="I47" s="26" t="s">
        <v>728</v>
      </c>
      <c r="J47" s="26" t="s">
        <v>175</v>
      </c>
      <c r="K47">
        <v>2</v>
      </c>
      <c r="L47">
        <v>2</v>
      </c>
      <c r="M47" s="26" t="s">
        <v>650</v>
      </c>
    </row>
    <row r="48" spans="1:13" x14ac:dyDescent="0.3">
      <c r="A48" s="26" t="s">
        <v>121</v>
      </c>
      <c r="B48" s="26" t="s">
        <v>66</v>
      </c>
      <c r="C48" s="26" t="s">
        <v>67</v>
      </c>
      <c r="D48" s="26" t="s">
        <v>164</v>
      </c>
      <c r="E48" s="26" t="s">
        <v>147</v>
      </c>
      <c r="F48" s="26" t="s">
        <v>728</v>
      </c>
      <c r="G48" s="26" t="s">
        <v>728</v>
      </c>
      <c r="H48" s="26" t="s">
        <v>728</v>
      </c>
      <c r="I48" s="26" t="s">
        <v>728</v>
      </c>
      <c r="J48" s="26" t="s">
        <v>424</v>
      </c>
      <c r="K48">
        <v>2</v>
      </c>
      <c r="L48">
        <v>3</v>
      </c>
      <c r="M48" s="26" t="s">
        <v>650</v>
      </c>
    </row>
    <row r="49" spans="1:13" x14ac:dyDescent="0.3">
      <c r="A49" s="26" t="s">
        <v>122</v>
      </c>
      <c r="B49" s="26" t="s">
        <v>68</v>
      </c>
      <c r="C49" s="26" t="s">
        <v>200</v>
      </c>
      <c r="D49" s="26" t="s">
        <v>78</v>
      </c>
      <c r="E49" s="26" t="s">
        <v>736</v>
      </c>
      <c r="F49" s="26" t="s">
        <v>621</v>
      </c>
      <c r="G49" s="26" t="s">
        <v>166</v>
      </c>
      <c r="H49" s="26" t="s">
        <v>728</v>
      </c>
      <c r="I49" s="26" t="s">
        <v>728</v>
      </c>
      <c r="J49" s="26" t="s">
        <v>670</v>
      </c>
      <c r="K49">
        <v>4</v>
      </c>
      <c r="L49">
        <v>4</v>
      </c>
      <c r="M49" s="26" t="s">
        <v>650</v>
      </c>
    </row>
    <row r="50" spans="1:13" x14ac:dyDescent="0.3">
      <c r="A50" s="26" t="s">
        <v>202</v>
      </c>
      <c r="B50" s="26" t="s">
        <v>203</v>
      </c>
      <c r="C50" s="26" t="s">
        <v>204</v>
      </c>
      <c r="D50" s="26" t="s">
        <v>461</v>
      </c>
      <c r="E50" s="26" t="s">
        <v>662</v>
      </c>
      <c r="F50" s="26" t="s">
        <v>739</v>
      </c>
      <c r="G50" s="26" t="s">
        <v>728</v>
      </c>
      <c r="H50" s="26" t="s">
        <v>728</v>
      </c>
      <c r="I50" s="26" t="s">
        <v>728</v>
      </c>
      <c r="J50" s="26" t="s">
        <v>587</v>
      </c>
      <c r="K50">
        <v>3</v>
      </c>
      <c r="L50">
        <v>3</v>
      </c>
      <c r="M50" s="26" t="s">
        <v>728</v>
      </c>
    </row>
    <row r="51" spans="1:13" x14ac:dyDescent="0.3">
      <c r="A51" s="26" t="s">
        <v>123</v>
      </c>
      <c r="B51" s="26" t="s">
        <v>76</v>
      </c>
      <c r="C51" s="26" t="s">
        <v>205</v>
      </c>
      <c r="D51" s="26" t="s">
        <v>78</v>
      </c>
      <c r="E51" s="26" t="s">
        <v>728</v>
      </c>
      <c r="F51" s="26" t="s">
        <v>728</v>
      </c>
      <c r="G51" s="26" t="s">
        <v>728</v>
      </c>
      <c r="H51" s="26" t="s">
        <v>728</v>
      </c>
      <c r="I51" s="26" t="s">
        <v>728</v>
      </c>
      <c r="J51" s="26" t="s">
        <v>667</v>
      </c>
      <c r="K51">
        <v>1</v>
      </c>
      <c r="L51">
        <v>3</v>
      </c>
      <c r="M51" s="26" t="s">
        <v>728</v>
      </c>
    </row>
    <row r="52" spans="1:13" x14ac:dyDescent="0.3">
      <c r="A52" s="26" t="s">
        <v>207</v>
      </c>
      <c r="B52" s="26" t="s">
        <v>208</v>
      </c>
      <c r="C52" s="26" t="s">
        <v>206</v>
      </c>
      <c r="D52" s="26" t="s">
        <v>164</v>
      </c>
      <c r="E52" s="26" t="s">
        <v>728</v>
      </c>
      <c r="F52" s="26" t="s">
        <v>728</v>
      </c>
      <c r="G52" s="26" t="s">
        <v>728</v>
      </c>
      <c r="H52" s="26" t="s">
        <v>728</v>
      </c>
      <c r="I52" s="26" t="s">
        <v>728</v>
      </c>
      <c r="J52" s="26" t="s">
        <v>441</v>
      </c>
      <c r="K52">
        <v>1</v>
      </c>
      <c r="L52">
        <v>2</v>
      </c>
      <c r="M52" s="26" t="s">
        <v>650</v>
      </c>
    </row>
    <row r="53" spans="1:13" x14ac:dyDescent="0.3">
      <c r="A53" s="26" t="s">
        <v>214</v>
      </c>
      <c r="B53" s="26" t="s">
        <v>215</v>
      </c>
      <c r="C53" s="26" t="s">
        <v>728</v>
      </c>
      <c r="D53" s="26" t="s">
        <v>170</v>
      </c>
      <c r="E53" s="26" t="s">
        <v>147</v>
      </c>
      <c r="F53" s="26" t="s">
        <v>588</v>
      </c>
      <c r="G53" s="26" t="s">
        <v>728</v>
      </c>
      <c r="H53" s="26" t="s">
        <v>728</v>
      </c>
      <c r="I53" s="26" t="s">
        <v>728</v>
      </c>
      <c r="J53" s="26" t="s">
        <v>560</v>
      </c>
      <c r="K53">
        <v>3</v>
      </c>
      <c r="L53">
        <v>3</v>
      </c>
      <c r="M53" s="26" t="s">
        <v>728</v>
      </c>
    </row>
    <row r="54" spans="1:13" x14ac:dyDescent="0.3">
      <c r="A54" s="26" t="s">
        <v>216</v>
      </c>
      <c r="B54" s="26" t="s">
        <v>217</v>
      </c>
      <c r="C54" s="26" t="s">
        <v>218</v>
      </c>
      <c r="D54" s="26" t="s">
        <v>660</v>
      </c>
      <c r="E54" s="26" t="s">
        <v>220</v>
      </c>
      <c r="F54" s="26" t="s">
        <v>728</v>
      </c>
      <c r="G54" s="26" t="s">
        <v>728</v>
      </c>
      <c r="H54" s="26" t="s">
        <v>728</v>
      </c>
      <c r="I54" s="26" t="s">
        <v>728</v>
      </c>
      <c r="J54" s="26" t="s">
        <v>162</v>
      </c>
      <c r="K54">
        <v>2</v>
      </c>
      <c r="L54">
        <v>1</v>
      </c>
      <c r="M54" s="26" t="s">
        <v>728</v>
      </c>
    </row>
    <row r="55" spans="1:13" x14ac:dyDescent="0.3">
      <c r="A55" s="26" t="s">
        <v>222</v>
      </c>
      <c r="B55" s="26" t="s">
        <v>221</v>
      </c>
      <c r="C55" s="26" t="s">
        <v>223</v>
      </c>
      <c r="D55" s="26" t="s">
        <v>739</v>
      </c>
      <c r="E55" s="26" t="s">
        <v>166</v>
      </c>
      <c r="F55" s="26" t="s">
        <v>728</v>
      </c>
      <c r="G55" s="26" t="s">
        <v>728</v>
      </c>
      <c r="H55" s="26" t="s">
        <v>728</v>
      </c>
      <c r="I55" s="26" t="s">
        <v>728</v>
      </c>
      <c r="J55" s="26" t="s">
        <v>177</v>
      </c>
      <c r="K55">
        <v>2</v>
      </c>
      <c r="L55">
        <v>1</v>
      </c>
      <c r="M55" s="26" t="s">
        <v>650</v>
      </c>
    </row>
    <row r="56" spans="1:13" x14ac:dyDescent="0.3">
      <c r="A56" s="26" t="s">
        <v>227</v>
      </c>
      <c r="B56" s="26" t="s">
        <v>225</v>
      </c>
      <c r="C56" s="26" t="s">
        <v>226</v>
      </c>
      <c r="D56" s="26" t="s">
        <v>138</v>
      </c>
      <c r="E56" s="26" t="s">
        <v>740</v>
      </c>
      <c r="F56" s="26" t="s">
        <v>728</v>
      </c>
      <c r="G56" s="26" t="s">
        <v>728</v>
      </c>
      <c r="H56" s="26" t="s">
        <v>728</v>
      </c>
      <c r="I56" s="26" t="s">
        <v>728</v>
      </c>
      <c r="J56" s="26" t="s">
        <v>181</v>
      </c>
      <c r="K56">
        <v>2</v>
      </c>
      <c r="L56">
        <v>2</v>
      </c>
      <c r="M56" s="26" t="s">
        <v>728</v>
      </c>
    </row>
    <row r="57" spans="1:13" x14ac:dyDescent="0.3">
      <c r="A57" s="26" t="s">
        <v>233</v>
      </c>
      <c r="B57" s="26" t="s">
        <v>232</v>
      </c>
      <c r="C57" s="26" t="s">
        <v>234</v>
      </c>
      <c r="D57" s="26" t="s">
        <v>637</v>
      </c>
      <c r="E57" s="26" t="s">
        <v>728</v>
      </c>
      <c r="F57" s="26" t="s">
        <v>728</v>
      </c>
      <c r="G57" s="26" t="s">
        <v>728</v>
      </c>
      <c r="H57" s="26" t="s">
        <v>728</v>
      </c>
      <c r="I57" s="26" t="s">
        <v>728</v>
      </c>
      <c r="J57" s="26" t="s">
        <v>181</v>
      </c>
      <c r="K57">
        <v>1</v>
      </c>
      <c r="L57">
        <v>2</v>
      </c>
      <c r="M57" s="26" t="s">
        <v>728</v>
      </c>
    </row>
    <row r="58" spans="1:13" x14ac:dyDescent="0.3">
      <c r="A58" s="26" t="s">
        <v>237</v>
      </c>
      <c r="B58" s="26" t="s">
        <v>236</v>
      </c>
      <c r="C58" s="26" t="s">
        <v>235</v>
      </c>
      <c r="D58" s="26" t="s">
        <v>738</v>
      </c>
      <c r="E58" s="26" t="s">
        <v>728</v>
      </c>
      <c r="F58" s="26" t="s">
        <v>728</v>
      </c>
      <c r="G58" s="26" t="s">
        <v>728</v>
      </c>
      <c r="H58" s="26" t="s">
        <v>728</v>
      </c>
      <c r="I58" s="26" t="s">
        <v>728</v>
      </c>
      <c r="J58" s="26" t="s">
        <v>238</v>
      </c>
      <c r="K58">
        <v>1</v>
      </c>
      <c r="L58">
        <v>2</v>
      </c>
      <c r="M58" s="26" t="s">
        <v>650</v>
      </c>
    </row>
    <row r="59" spans="1:13" x14ac:dyDescent="0.3">
      <c r="A59" s="26" t="s">
        <v>240</v>
      </c>
      <c r="B59" s="26" t="s">
        <v>239</v>
      </c>
      <c r="C59" s="26" t="s">
        <v>241</v>
      </c>
      <c r="D59" s="26" t="s">
        <v>728</v>
      </c>
      <c r="E59" s="26" t="s">
        <v>461</v>
      </c>
      <c r="F59" s="26" t="s">
        <v>728</v>
      </c>
      <c r="G59" s="26" t="s">
        <v>728</v>
      </c>
      <c r="H59" s="26" t="s">
        <v>728</v>
      </c>
      <c r="I59" s="26" t="s">
        <v>728</v>
      </c>
      <c r="J59" s="26" t="s">
        <v>431</v>
      </c>
      <c r="K59">
        <v>1</v>
      </c>
      <c r="L59">
        <v>2</v>
      </c>
      <c r="M59" s="26" t="s">
        <v>650</v>
      </c>
    </row>
    <row r="60" spans="1:13" x14ac:dyDescent="0.3">
      <c r="A60" s="26" t="s">
        <v>243</v>
      </c>
      <c r="B60" s="26" t="s">
        <v>242</v>
      </c>
      <c r="C60" s="26" t="s">
        <v>244</v>
      </c>
      <c r="D60" s="26" t="s">
        <v>705</v>
      </c>
      <c r="E60" s="26" t="s">
        <v>728</v>
      </c>
      <c r="F60" s="26" t="s">
        <v>728</v>
      </c>
      <c r="G60" s="26" t="s">
        <v>728</v>
      </c>
      <c r="H60" s="26" t="s">
        <v>728</v>
      </c>
      <c r="I60" s="26" t="s">
        <v>728</v>
      </c>
      <c r="J60" s="26" t="s">
        <v>578</v>
      </c>
      <c r="K60">
        <v>1</v>
      </c>
      <c r="L60">
        <v>2</v>
      </c>
      <c r="M60" s="26" t="s">
        <v>650</v>
      </c>
    </row>
    <row r="61" spans="1:13" x14ac:dyDescent="0.3">
      <c r="A61" s="26" t="s">
        <v>249</v>
      </c>
      <c r="B61" s="26" t="s">
        <v>248</v>
      </c>
      <c r="C61" s="26" t="s">
        <v>251</v>
      </c>
      <c r="D61" s="26" t="s">
        <v>660</v>
      </c>
      <c r="E61" s="26" t="s">
        <v>247</v>
      </c>
      <c r="F61" s="26" t="s">
        <v>728</v>
      </c>
      <c r="G61" s="26" t="s">
        <v>728</v>
      </c>
      <c r="H61" s="26" t="s">
        <v>728</v>
      </c>
      <c r="I61" s="26" t="s">
        <v>728</v>
      </c>
      <c r="J61" s="26" t="s">
        <v>371</v>
      </c>
      <c r="K61">
        <v>2</v>
      </c>
      <c r="L61">
        <v>2</v>
      </c>
      <c r="M61" s="26" t="s">
        <v>728</v>
      </c>
    </row>
    <row r="62" spans="1:13" x14ac:dyDescent="0.3">
      <c r="A62" s="26" t="s">
        <v>254</v>
      </c>
      <c r="B62" s="26" t="s">
        <v>253</v>
      </c>
      <c r="C62" s="26" t="s">
        <v>252</v>
      </c>
      <c r="D62" s="26" t="s">
        <v>129</v>
      </c>
      <c r="E62" s="26" t="s">
        <v>247</v>
      </c>
      <c r="F62" s="26" t="s">
        <v>728</v>
      </c>
      <c r="G62" s="26" t="s">
        <v>728</v>
      </c>
      <c r="H62" s="26" t="s">
        <v>728</v>
      </c>
      <c r="I62" s="26" t="s">
        <v>728</v>
      </c>
      <c r="J62" s="26" t="s">
        <v>162</v>
      </c>
      <c r="K62">
        <v>2</v>
      </c>
      <c r="L62">
        <v>1</v>
      </c>
      <c r="M62" s="26" t="s">
        <v>728</v>
      </c>
    </row>
    <row r="63" spans="1:13" x14ac:dyDescent="0.3">
      <c r="A63" s="26" t="s">
        <v>255</v>
      </c>
      <c r="B63" s="26" t="s">
        <v>256</v>
      </c>
      <c r="C63" s="26" t="s">
        <v>257</v>
      </c>
      <c r="D63" s="26" t="s">
        <v>138</v>
      </c>
      <c r="E63" s="26" t="s">
        <v>728</v>
      </c>
      <c r="F63" s="26" t="s">
        <v>728</v>
      </c>
      <c r="G63" s="26" t="s">
        <v>728</v>
      </c>
      <c r="H63" s="26" t="s">
        <v>728</v>
      </c>
      <c r="I63" s="26" t="s">
        <v>728</v>
      </c>
      <c r="J63" s="26" t="s">
        <v>175</v>
      </c>
      <c r="K63">
        <v>1</v>
      </c>
      <c r="L63">
        <v>2</v>
      </c>
      <c r="M63" s="26" t="s">
        <v>728</v>
      </c>
    </row>
    <row r="64" spans="1:13" x14ac:dyDescent="0.3">
      <c r="A64" s="26" t="s">
        <v>259</v>
      </c>
      <c r="B64" s="26" t="s">
        <v>260</v>
      </c>
      <c r="C64" s="26" t="s">
        <v>258</v>
      </c>
      <c r="D64" s="26" t="s">
        <v>129</v>
      </c>
      <c r="E64" s="26" t="s">
        <v>728</v>
      </c>
      <c r="F64" s="26" t="s">
        <v>728</v>
      </c>
      <c r="G64" s="26" t="s">
        <v>728</v>
      </c>
      <c r="H64" s="26" t="s">
        <v>728</v>
      </c>
      <c r="I64" s="26" t="s">
        <v>728</v>
      </c>
      <c r="J64" s="26" t="s">
        <v>162</v>
      </c>
      <c r="K64">
        <v>1</v>
      </c>
      <c r="L64">
        <v>1</v>
      </c>
      <c r="M64" s="26" t="s">
        <v>728</v>
      </c>
    </row>
    <row r="65" spans="1:13" x14ac:dyDescent="0.3">
      <c r="A65" s="26" t="s">
        <v>261</v>
      </c>
      <c r="B65" s="26" t="s">
        <v>262</v>
      </c>
      <c r="C65" s="26" t="s">
        <v>263</v>
      </c>
      <c r="D65" s="26" t="s">
        <v>461</v>
      </c>
      <c r="E65" s="26" t="s">
        <v>457</v>
      </c>
      <c r="F65" s="26" t="s">
        <v>736</v>
      </c>
      <c r="G65" s="26" t="s">
        <v>728</v>
      </c>
      <c r="H65" s="26" t="s">
        <v>728</v>
      </c>
      <c r="I65" s="26" t="s">
        <v>728</v>
      </c>
      <c r="J65" s="26" t="s">
        <v>493</v>
      </c>
      <c r="K65">
        <v>3</v>
      </c>
      <c r="L65">
        <v>2</v>
      </c>
      <c r="M65" s="26" t="s">
        <v>728</v>
      </c>
    </row>
    <row r="66" spans="1:13" x14ac:dyDescent="0.3">
      <c r="A66" s="26" t="s">
        <v>267</v>
      </c>
      <c r="B66" s="26" t="s">
        <v>266</v>
      </c>
      <c r="C66" s="26" t="s">
        <v>269</v>
      </c>
      <c r="D66" s="26" t="s">
        <v>660</v>
      </c>
      <c r="E66" s="26" t="s">
        <v>588</v>
      </c>
      <c r="F66" s="26" t="s">
        <v>731</v>
      </c>
      <c r="G66" s="26" t="s">
        <v>728</v>
      </c>
      <c r="H66" s="26" t="s">
        <v>728</v>
      </c>
      <c r="I66" s="26" t="s">
        <v>728</v>
      </c>
      <c r="J66" s="26" t="s">
        <v>436</v>
      </c>
      <c r="K66">
        <v>3</v>
      </c>
      <c r="L66">
        <v>2</v>
      </c>
      <c r="M66" s="26" t="s">
        <v>728</v>
      </c>
    </row>
    <row r="67" spans="1:13" x14ac:dyDescent="0.3">
      <c r="A67" s="26" t="s">
        <v>271</v>
      </c>
      <c r="B67" s="26" t="s">
        <v>272</v>
      </c>
      <c r="C67" s="26" t="s">
        <v>270</v>
      </c>
      <c r="D67" s="26" t="s">
        <v>247</v>
      </c>
      <c r="E67" s="26" t="s">
        <v>728</v>
      </c>
      <c r="F67" s="26" t="s">
        <v>728</v>
      </c>
      <c r="G67" s="26" t="s">
        <v>728</v>
      </c>
      <c r="H67" s="26" t="s">
        <v>728</v>
      </c>
      <c r="I67" s="26" t="s">
        <v>728</v>
      </c>
      <c r="J67" s="26" t="s">
        <v>436</v>
      </c>
      <c r="K67">
        <v>1</v>
      </c>
      <c r="L67">
        <v>2</v>
      </c>
      <c r="M67" s="26" t="s">
        <v>728</v>
      </c>
    </row>
    <row r="68" spans="1:13" x14ac:dyDescent="0.3">
      <c r="A68" s="26" t="s">
        <v>275</v>
      </c>
      <c r="B68" s="26" t="s">
        <v>276</v>
      </c>
      <c r="C68" s="26" t="s">
        <v>277</v>
      </c>
      <c r="D68" s="26" t="s">
        <v>147</v>
      </c>
      <c r="E68" s="26" t="s">
        <v>220</v>
      </c>
      <c r="F68" s="26" t="s">
        <v>557</v>
      </c>
      <c r="G68" s="26" t="s">
        <v>461</v>
      </c>
      <c r="H68" s="26" t="s">
        <v>728</v>
      </c>
      <c r="I68" s="26" t="s">
        <v>728</v>
      </c>
      <c r="J68" s="26" t="s">
        <v>162</v>
      </c>
      <c r="K68">
        <v>4</v>
      </c>
      <c r="L68">
        <v>1</v>
      </c>
      <c r="M68" s="26" t="s">
        <v>650</v>
      </c>
    </row>
    <row r="69" spans="1:13" x14ac:dyDescent="0.3">
      <c r="A69" s="26" t="s">
        <v>281</v>
      </c>
      <c r="B69" s="26" t="s">
        <v>280</v>
      </c>
      <c r="C69" s="26" t="s">
        <v>279</v>
      </c>
      <c r="D69" s="26" t="s">
        <v>736</v>
      </c>
      <c r="E69" s="26" t="s">
        <v>730</v>
      </c>
      <c r="F69" s="26" t="s">
        <v>728</v>
      </c>
      <c r="G69" s="26" t="s">
        <v>728</v>
      </c>
      <c r="H69" s="26" t="s">
        <v>728</v>
      </c>
      <c r="I69" s="26" t="s">
        <v>728</v>
      </c>
      <c r="J69" s="26" t="s">
        <v>162</v>
      </c>
      <c r="K69">
        <v>2</v>
      </c>
      <c r="L69">
        <v>1</v>
      </c>
      <c r="M69" s="26" t="s">
        <v>650</v>
      </c>
    </row>
    <row r="70" spans="1:13" x14ac:dyDescent="0.3">
      <c r="A70" s="26" t="s">
        <v>282</v>
      </c>
      <c r="B70" s="26" t="s">
        <v>283</v>
      </c>
      <c r="C70" s="26" t="s">
        <v>728</v>
      </c>
      <c r="D70" s="26" t="s">
        <v>457</v>
      </c>
      <c r="E70" s="26" t="s">
        <v>461</v>
      </c>
      <c r="F70" s="26" t="s">
        <v>557</v>
      </c>
      <c r="G70" s="26" t="s">
        <v>728</v>
      </c>
      <c r="H70" s="26" t="s">
        <v>728</v>
      </c>
      <c r="I70" s="26" t="s">
        <v>728</v>
      </c>
      <c r="J70" s="26" t="s">
        <v>513</v>
      </c>
      <c r="K70">
        <v>3</v>
      </c>
      <c r="L70">
        <v>3</v>
      </c>
      <c r="M70" s="26" t="s">
        <v>650</v>
      </c>
    </row>
    <row r="71" spans="1:13" x14ac:dyDescent="0.3">
      <c r="A71" s="26" t="s">
        <v>285</v>
      </c>
      <c r="B71" s="26" t="s">
        <v>284</v>
      </c>
      <c r="C71" s="26" t="s">
        <v>728</v>
      </c>
      <c r="D71" s="26" t="s">
        <v>247</v>
      </c>
      <c r="E71" s="26" t="s">
        <v>680</v>
      </c>
      <c r="F71" s="26" t="s">
        <v>728</v>
      </c>
      <c r="G71" s="26" t="s">
        <v>728</v>
      </c>
      <c r="H71" s="26" t="s">
        <v>728</v>
      </c>
      <c r="I71" s="26" t="s">
        <v>728</v>
      </c>
      <c r="J71" s="26" t="s">
        <v>436</v>
      </c>
      <c r="K71">
        <v>2</v>
      </c>
      <c r="L71">
        <v>2</v>
      </c>
      <c r="M71" s="26" t="s">
        <v>728</v>
      </c>
    </row>
    <row r="72" spans="1:13" x14ac:dyDescent="0.3">
      <c r="A72" s="26" t="s">
        <v>286</v>
      </c>
      <c r="B72" s="26" t="s">
        <v>287</v>
      </c>
      <c r="C72" s="26" t="s">
        <v>288</v>
      </c>
      <c r="D72" s="26" t="s">
        <v>728</v>
      </c>
      <c r="E72" s="26" t="s">
        <v>147</v>
      </c>
      <c r="F72" s="26" t="s">
        <v>728</v>
      </c>
      <c r="G72" s="26" t="s">
        <v>728</v>
      </c>
      <c r="H72" s="26" t="s">
        <v>728</v>
      </c>
      <c r="I72" s="26" t="s">
        <v>728</v>
      </c>
      <c r="J72" s="26" t="s">
        <v>181</v>
      </c>
      <c r="K72">
        <v>1</v>
      </c>
      <c r="L72">
        <v>2</v>
      </c>
      <c r="M72" s="26" t="s">
        <v>650</v>
      </c>
    </row>
    <row r="73" spans="1:13" x14ac:dyDescent="0.3">
      <c r="A73" s="26" t="s">
        <v>295</v>
      </c>
      <c r="B73" s="26" t="s">
        <v>290</v>
      </c>
      <c r="C73" s="26" t="s">
        <v>681</v>
      </c>
      <c r="D73" s="26" t="s">
        <v>156</v>
      </c>
      <c r="E73" s="26" t="s">
        <v>147</v>
      </c>
      <c r="F73" s="26" t="s">
        <v>728</v>
      </c>
      <c r="G73" s="26" t="s">
        <v>728</v>
      </c>
      <c r="H73" s="26" t="s">
        <v>728</v>
      </c>
      <c r="I73" s="26" t="s">
        <v>728</v>
      </c>
      <c r="J73" s="26" t="s">
        <v>181</v>
      </c>
      <c r="K73">
        <v>2</v>
      </c>
      <c r="L73">
        <v>2</v>
      </c>
      <c r="M73" s="26" t="s">
        <v>650</v>
      </c>
    </row>
    <row r="74" spans="1:13" x14ac:dyDescent="0.3">
      <c r="A74" s="26" t="s">
        <v>292</v>
      </c>
      <c r="B74" s="26" t="s">
        <v>291</v>
      </c>
      <c r="C74" s="26" t="s">
        <v>293</v>
      </c>
      <c r="D74" s="26" t="s">
        <v>705</v>
      </c>
      <c r="E74" s="26" t="s">
        <v>728</v>
      </c>
      <c r="F74" s="26" t="s">
        <v>728</v>
      </c>
      <c r="G74" s="26" t="s">
        <v>728</v>
      </c>
      <c r="H74" s="26" t="s">
        <v>728</v>
      </c>
      <c r="I74" s="26" t="s">
        <v>728</v>
      </c>
      <c r="J74" s="26" t="s">
        <v>159</v>
      </c>
      <c r="K74">
        <v>1</v>
      </c>
      <c r="L74">
        <v>1</v>
      </c>
      <c r="M74" s="26" t="s">
        <v>650</v>
      </c>
    </row>
    <row r="75" spans="1:13" x14ac:dyDescent="0.3">
      <c r="A75" s="26" t="s">
        <v>296</v>
      </c>
      <c r="B75" s="26" t="s">
        <v>297</v>
      </c>
      <c r="C75" s="26" t="s">
        <v>298</v>
      </c>
      <c r="D75" s="26" t="s">
        <v>342</v>
      </c>
      <c r="E75" s="26" t="s">
        <v>166</v>
      </c>
      <c r="F75" s="26" t="s">
        <v>728</v>
      </c>
      <c r="G75" s="26" t="s">
        <v>728</v>
      </c>
      <c r="H75" s="26" t="s">
        <v>728</v>
      </c>
      <c r="I75" s="26" t="s">
        <v>728</v>
      </c>
      <c r="J75" s="26" t="s">
        <v>162</v>
      </c>
      <c r="K75">
        <v>2</v>
      </c>
      <c r="L75">
        <v>1</v>
      </c>
      <c r="M75" s="26" t="s">
        <v>650</v>
      </c>
    </row>
    <row r="76" spans="1:13" x14ac:dyDescent="0.3">
      <c r="A76" s="26" t="s">
        <v>300</v>
      </c>
      <c r="B76" s="26" t="s">
        <v>301</v>
      </c>
      <c r="C76" s="26" t="s">
        <v>302</v>
      </c>
      <c r="D76" s="26" t="s">
        <v>129</v>
      </c>
      <c r="E76" s="26" t="s">
        <v>705</v>
      </c>
      <c r="F76" s="26" t="s">
        <v>728</v>
      </c>
      <c r="G76" s="26" t="s">
        <v>728</v>
      </c>
      <c r="H76" s="26" t="s">
        <v>728</v>
      </c>
      <c r="I76" s="26" t="s">
        <v>728</v>
      </c>
      <c r="J76" s="26" t="s">
        <v>675</v>
      </c>
      <c r="K76">
        <v>2</v>
      </c>
      <c r="L76">
        <v>2</v>
      </c>
      <c r="M76" s="26" t="s">
        <v>650</v>
      </c>
    </row>
    <row r="77" spans="1:13" x14ac:dyDescent="0.3">
      <c r="A77" s="26" t="s">
        <v>306</v>
      </c>
      <c r="B77" s="26" t="s">
        <v>305</v>
      </c>
      <c r="C77" s="26" t="s">
        <v>682</v>
      </c>
      <c r="D77" s="26" t="s">
        <v>147</v>
      </c>
      <c r="E77" s="26" t="s">
        <v>728</v>
      </c>
      <c r="F77" s="26" t="s">
        <v>728</v>
      </c>
      <c r="G77" s="26" t="s">
        <v>728</v>
      </c>
      <c r="H77" s="26" t="s">
        <v>728</v>
      </c>
      <c r="I77" s="26" t="s">
        <v>728</v>
      </c>
      <c r="J77" s="26" t="s">
        <v>181</v>
      </c>
      <c r="K77">
        <v>1</v>
      </c>
      <c r="L77">
        <v>2</v>
      </c>
      <c r="M77" s="26" t="s">
        <v>650</v>
      </c>
    </row>
    <row r="78" spans="1:13" x14ac:dyDescent="0.3">
      <c r="A78" s="26" t="s">
        <v>307</v>
      </c>
      <c r="B78" s="26" t="s">
        <v>308</v>
      </c>
      <c r="C78" s="26" t="s">
        <v>309</v>
      </c>
      <c r="D78" s="26" t="s">
        <v>147</v>
      </c>
      <c r="E78" s="26" t="s">
        <v>461</v>
      </c>
      <c r="F78" s="26" t="s">
        <v>728</v>
      </c>
      <c r="G78" s="26" t="s">
        <v>728</v>
      </c>
      <c r="H78" s="26" t="s">
        <v>728</v>
      </c>
      <c r="I78" s="26" t="s">
        <v>728</v>
      </c>
      <c r="J78" s="26" t="s">
        <v>181</v>
      </c>
      <c r="K78">
        <v>2</v>
      </c>
      <c r="L78">
        <v>2</v>
      </c>
      <c r="M78" s="26" t="s">
        <v>649</v>
      </c>
    </row>
    <row r="79" spans="1:13" x14ac:dyDescent="0.3">
      <c r="A79" s="26" t="s">
        <v>310</v>
      </c>
      <c r="B79" s="26" t="s">
        <v>311</v>
      </c>
      <c r="C79" s="26" t="s">
        <v>312</v>
      </c>
      <c r="D79" s="26" t="s">
        <v>78</v>
      </c>
      <c r="E79" s="26" t="s">
        <v>739</v>
      </c>
      <c r="F79" s="26" t="s">
        <v>245</v>
      </c>
      <c r="G79" s="26" t="s">
        <v>728</v>
      </c>
      <c r="H79" s="26" t="s">
        <v>728</v>
      </c>
      <c r="I79" s="26" t="s">
        <v>728</v>
      </c>
      <c r="J79" s="26" t="s">
        <v>667</v>
      </c>
      <c r="K79">
        <v>3</v>
      </c>
      <c r="L79">
        <v>3</v>
      </c>
      <c r="M79" s="26" t="s">
        <v>650</v>
      </c>
    </row>
    <row r="80" spans="1:13" x14ac:dyDescent="0.3">
      <c r="A80" s="26" t="s">
        <v>315</v>
      </c>
      <c r="B80" s="26" t="s">
        <v>316</v>
      </c>
      <c r="C80" s="26" t="s">
        <v>317</v>
      </c>
      <c r="D80" s="26" t="s">
        <v>142</v>
      </c>
      <c r="E80" s="26" t="s">
        <v>728</v>
      </c>
      <c r="F80" s="26" t="s">
        <v>728</v>
      </c>
      <c r="G80" s="26" t="s">
        <v>728</v>
      </c>
      <c r="H80" s="26" t="s">
        <v>728</v>
      </c>
      <c r="I80" s="26" t="s">
        <v>728</v>
      </c>
      <c r="J80" s="26" t="s">
        <v>171</v>
      </c>
      <c r="K80">
        <v>1</v>
      </c>
      <c r="L80">
        <v>1</v>
      </c>
      <c r="M80" s="26" t="s">
        <v>728</v>
      </c>
    </row>
    <row r="81" spans="1:13" x14ac:dyDescent="0.3">
      <c r="A81" s="26" t="s">
        <v>320</v>
      </c>
      <c r="B81" s="26" t="s">
        <v>319</v>
      </c>
      <c r="C81" s="26" t="s">
        <v>321</v>
      </c>
      <c r="D81" s="26" t="s">
        <v>147</v>
      </c>
      <c r="E81" s="26" t="s">
        <v>728</v>
      </c>
      <c r="F81" s="26" t="s">
        <v>728</v>
      </c>
      <c r="G81" s="26" t="s">
        <v>728</v>
      </c>
      <c r="H81" s="26" t="s">
        <v>728</v>
      </c>
      <c r="I81" s="26" t="s">
        <v>728</v>
      </c>
      <c r="J81" s="26" t="s">
        <v>159</v>
      </c>
      <c r="K81">
        <v>1</v>
      </c>
      <c r="L81">
        <v>1</v>
      </c>
      <c r="M81" s="26" t="s">
        <v>728</v>
      </c>
    </row>
    <row r="82" spans="1:13" x14ac:dyDescent="0.3">
      <c r="A82" s="26" t="s">
        <v>323</v>
      </c>
      <c r="B82" s="26" t="s">
        <v>324</v>
      </c>
      <c r="C82" s="26" t="s">
        <v>322</v>
      </c>
      <c r="D82" s="26" t="s">
        <v>147</v>
      </c>
      <c r="E82" s="26" t="s">
        <v>728</v>
      </c>
      <c r="F82" s="26" t="s">
        <v>728</v>
      </c>
      <c r="G82" s="26" t="s">
        <v>728</v>
      </c>
      <c r="H82" s="26" t="s">
        <v>728</v>
      </c>
      <c r="I82" s="26" t="s">
        <v>728</v>
      </c>
      <c r="J82" s="26" t="s">
        <v>159</v>
      </c>
      <c r="K82">
        <v>1</v>
      </c>
      <c r="L82">
        <v>1</v>
      </c>
      <c r="M82" s="26" t="s">
        <v>728</v>
      </c>
    </row>
    <row r="83" spans="1:13" x14ac:dyDescent="0.3">
      <c r="A83" s="26" t="s">
        <v>325</v>
      </c>
      <c r="B83" s="26" t="s">
        <v>326</v>
      </c>
      <c r="C83" s="26" t="s">
        <v>327</v>
      </c>
      <c r="D83" s="26" t="s">
        <v>147</v>
      </c>
      <c r="E83" s="26" t="s">
        <v>728</v>
      </c>
      <c r="F83" s="26" t="s">
        <v>728</v>
      </c>
      <c r="G83" s="26" t="s">
        <v>728</v>
      </c>
      <c r="H83" s="26" t="s">
        <v>728</v>
      </c>
      <c r="I83" s="26" t="s">
        <v>728</v>
      </c>
      <c r="J83" s="26" t="s">
        <v>159</v>
      </c>
      <c r="K83">
        <v>1</v>
      </c>
      <c r="L83">
        <v>1</v>
      </c>
      <c r="M83" s="26" t="s">
        <v>728</v>
      </c>
    </row>
    <row r="84" spans="1:13" x14ac:dyDescent="0.3">
      <c r="A84" s="26" t="s">
        <v>328</v>
      </c>
      <c r="B84" s="26" t="s">
        <v>329</v>
      </c>
      <c r="C84" s="26" t="s">
        <v>330</v>
      </c>
      <c r="D84" s="26" t="s">
        <v>245</v>
      </c>
      <c r="E84" s="26" t="s">
        <v>728</v>
      </c>
      <c r="F84" s="26" t="s">
        <v>728</v>
      </c>
      <c r="G84" s="26" t="s">
        <v>728</v>
      </c>
      <c r="H84" s="26" t="s">
        <v>728</v>
      </c>
      <c r="I84" s="26" t="s">
        <v>728</v>
      </c>
      <c r="J84" s="26" t="s">
        <v>331</v>
      </c>
      <c r="K84">
        <v>1</v>
      </c>
      <c r="L84">
        <v>2</v>
      </c>
      <c r="M84" s="26" t="s">
        <v>650</v>
      </c>
    </row>
    <row r="85" spans="1:13" x14ac:dyDescent="0.3">
      <c r="A85" s="26" t="s">
        <v>337</v>
      </c>
      <c r="B85" s="26" t="s">
        <v>338</v>
      </c>
      <c r="C85" s="26" t="s">
        <v>336</v>
      </c>
      <c r="D85" s="26" t="s">
        <v>335</v>
      </c>
      <c r="E85" s="26" t="s">
        <v>220</v>
      </c>
      <c r="F85" s="26" t="s">
        <v>557</v>
      </c>
      <c r="G85" s="26" t="s">
        <v>728</v>
      </c>
      <c r="H85" s="26" t="s">
        <v>728</v>
      </c>
      <c r="I85" s="26" t="s">
        <v>728</v>
      </c>
      <c r="J85" s="26" t="s">
        <v>683</v>
      </c>
      <c r="K85">
        <v>3</v>
      </c>
      <c r="L85">
        <v>3</v>
      </c>
      <c r="M85" s="26" t="s">
        <v>728</v>
      </c>
    </row>
    <row r="86" spans="1:13" x14ac:dyDescent="0.3">
      <c r="A86" s="26" t="s">
        <v>339</v>
      </c>
      <c r="B86" s="26" t="s">
        <v>340</v>
      </c>
      <c r="C86" s="26" t="s">
        <v>341</v>
      </c>
      <c r="D86" s="26" t="s">
        <v>170</v>
      </c>
      <c r="E86" s="26" t="s">
        <v>147</v>
      </c>
      <c r="F86" s="26" t="s">
        <v>342</v>
      </c>
      <c r="G86" s="26" t="s">
        <v>166</v>
      </c>
      <c r="H86" s="26" t="s">
        <v>728</v>
      </c>
      <c r="I86" s="26" t="s">
        <v>728</v>
      </c>
      <c r="J86" s="26" t="s">
        <v>560</v>
      </c>
      <c r="K86">
        <v>4</v>
      </c>
      <c r="L86">
        <v>3</v>
      </c>
      <c r="M86" s="26" t="s">
        <v>650</v>
      </c>
    </row>
    <row r="87" spans="1:13" x14ac:dyDescent="0.3">
      <c r="A87" s="26" t="s">
        <v>343</v>
      </c>
      <c r="B87" s="26" t="s">
        <v>344</v>
      </c>
      <c r="C87" s="26" t="s">
        <v>345</v>
      </c>
      <c r="D87" s="26" t="s">
        <v>740</v>
      </c>
      <c r="E87" s="26" t="s">
        <v>147</v>
      </c>
      <c r="F87" s="26" t="s">
        <v>728</v>
      </c>
      <c r="G87" s="26" t="s">
        <v>728</v>
      </c>
      <c r="H87" s="26" t="s">
        <v>728</v>
      </c>
      <c r="I87" s="26" t="s">
        <v>728</v>
      </c>
      <c r="J87" s="26" t="s">
        <v>181</v>
      </c>
      <c r="K87">
        <v>2</v>
      </c>
      <c r="L87">
        <v>2</v>
      </c>
      <c r="M87" s="26" t="s">
        <v>728</v>
      </c>
    </row>
    <row r="88" spans="1:13" x14ac:dyDescent="0.3">
      <c r="A88" s="26" t="s">
        <v>347</v>
      </c>
      <c r="B88" s="26" t="s">
        <v>348</v>
      </c>
      <c r="C88" s="26" t="s">
        <v>346</v>
      </c>
      <c r="D88" s="26" t="s">
        <v>740</v>
      </c>
      <c r="E88" s="26" t="s">
        <v>147</v>
      </c>
      <c r="F88" s="26" t="s">
        <v>728</v>
      </c>
      <c r="G88" s="26" t="s">
        <v>728</v>
      </c>
      <c r="H88" s="26" t="s">
        <v>728</v>
      </c>
      <c r="I88" s="26" t="s">
        <v>728</v>
      </c>
      <c r="J88" s="26" t="s">
        <v>728</v>
      </c>
      <c r="K88">
        <v>2</v>
      </c>
      <c r="L88">
        <v>0</v>
      </c>
      <c r="M88" s="26" t="s">
        <v>728</v>
      </c>
    </row>
    <row r="89" spans="1:13" x14ac:dyDescent="0.3">
      <c r="A89" s="26" t="s">
        <v>350</v>
      </c>
      <c r="B89" s="26" t="s">
        <v>351</v>
      </c>
      <c r="C89" s="26" t="s">
        <v>352</v>
      </c>
      <c r="D89" s="26" t="s">
        <v>335</v>
      </c>
      <c r="E89" s="26" t="s">
        <v>147</v>
      </c>
      <c r="F89" s="26" t="s">
        <v>728</v>
      </c>
      <c r="G89" s="26" t="s">
        <v>728</v>
      </c>
      <c r="H89" s="26" t="s">
        <v>728</v>
      </c>
      <c r="I89" s="26" t="s">
        <v>728</v>
      </c>
      <c r="J89" s="26" t="s">
        <v>181</v>
      </c>
      <c r="K89">
        <v>2</v>
      </c>
      <c r="L89">
        <v>2</v>
      </c>
      <c r="M89" s="26" t="s">
        <v>728</v>
      </c>
    </row>
    <row r="90" spans="1:13" x14ac:dyDescent="0.3">
      <c r="A90" s="26" t="s">
        <v>360</v>
      </c>
      <c r="B90" s="26" t="s">
        <v>359</v>
      </c>
      <c r="C90" s="26" t="s">
        <v>361</v>
      </c>
      <c r="D90" s="26" t="s">
        <v>147</v>
      </c>
      <c r="E90" s="26" t="s">
        <v>728</v>
      </c>
      <c r="F90" s="26" t="s">
        <v>728</v>
      </c>
      <c r="G90" s="26" t="s">
        <v>728</v>
      </c>
      <c r="H90" s="26" t="s">
        <v>728</v>
      </c>
      <c r="I90" s="26" t="s">
        <v>728</v>
      </c>
      <c r="J90" s="26" t="s">
        <v>162</v>
      </c>
      <c r="K90">
        <v>1</v>
      </c>
      <c r="L90">
        <v>1</v>
      </c>
      <c r="M90" s="26" t="s">
        <v>728</v>
      </c>
    </row>
    <row r="91" spans="1:13" x14ac:dyDescent="0.3">
      <c r="A91" s="26" t="s">
        <v>364</v>
      </c>
      <c r="B91" s="26" t="s">
        <v>365</v>
      </c>
      <c r="C91" s="26" t="s">
        <v>363</v>
      </c>
      <c r="D91" s="26" t="s">
        <v>156</v>
      </c>
      <c r="E91" s="26" t="s">
        <v>660</v>
      </c>
      <c r="F91" s="26" t="s">
        <v>728</v>
      </c>
      <c r="G91" s="26" t="s">
        <v>728</v>
      </c>
      <c r="H91" s="26" t="s">
        <v>728</v>
      </c>
      <c r="I91" s="26" t="s">
        <v>728</v>
      </c>
      <c r="J91" s="26" t="s">
        <v>366</v>
      </c>
      <c r="K91">
        <v>2</v>
      </c>
      <c r="L91">
        <v>3</v>
      </c>
      <c r="M91" s="26" t="s">
        <v>728</v>
      </c>
    </row>
    <row r="92" spans="1:13" x14ac:dyDescent="0.3">
      <c r="A92" s="26" t="s">
        <v>368</v>
      </c>
      <c r="B92" s="26" t="s">
        <v>367</v>
      </c>
      <c r="C92" s="26" t="s">
        <v>369</v>
      </c>
      <c r="D92" s="26" t="s">
        <v>660</v>
      </c>
      <c r="E92" s="26" t="s">
        <v>370</v>
      </c>
      <c r="F92" s="26" t="s">
        <v>163</v>
      </c>
      <c r="G92" s="26" t="s">
        <v>728</v>
      </c>
      <c r="H92" s="26" t="s">
        <v>728</v>
      </c>
      <c r="I92" s="26" t="s">
        <v>728</v>
      </c>
      <c r="J92" s="26" t="s">
        <v>371</v>
      </c>
      <c r="K92">
        <v>3</v>
      </c>
      <c r="L92">
        <v>2</v>
      </c>
      <c r="M92" s="26" t="s">
        <v>728</v>
      </c>
    </row>
    <row r="93" spans="1:13" x14ac:dyDescent="0.3">
      <c r="A93" s="26" t="s">
        <v>378</v>
      </c>
      <c r="B93" s="26" t="s">
        <v>379</v>
      </c>
      <c r="C93" s="26" t="s">
        <v>377</v>
      </c>
      <c r="D93" s="26" t="s">
        <v>147</v>
      </c>
      <c r="E93" s="26" t="s">
        <v>247</v>
      </c>
      <c r="F93" s="26" t="s">
        <v>728</v>
      </c>
      <c r="G93" s="26" t="s">
        <v>728</v>
      </c>
      <c r="H93" s="26" t="s">
        <v>728</v>
      </c>
      <c r="I93" s="26" t="s">
        <v>728</v>
      </c>
      <c r="J93" s="26" t="s">
        <v>181</v>
      </c>
      <c r="K93">
        <v>2</v>
      </c>
      <c r="L93">
        <v>2</v>
      </c>
      <c r="M93" s="26" t="s">
        <v>651</v>
      </c>
    </row>
    <row r="94" spans="1:13" x14ac:dyDescent="0.3">
      <c r="A94" s="26" t="s">
        <v>384</v>
      </c>
      <c r="B94" s="26" t="s">
        <v>385</v>
      </c>
      <c r="C94" s="26" t="s">
        <v>389</v>
      </c>
      <c r="D94" s="26" t="s">
        <v>147</v>
      </c>
      <c r="E94" s="26" t="s">
        <v>728</v>
      </c>
      <c r="F94" s="26" t="s">
        <v>388</v>
      </c>
      <c r="G94" s="26" t="s">
        <v>728</v>
      </c>
      <c r="H94" s="26" t="s">
        <v>728</v>
      </c>
      <c r="I94" s="26" t="s">
        <v>728</v>
      </c>
      <c r="J94" s="26" t="s">
        <v>159</v>
      </c>
      <c r="K94">
        <v>2</v>
      </c>
      <c r="L94">
        <v>1</v>
      </c>
      <c r="M94" s="26" t="s">
        <v>649</v>
      </c>
    </row>
    <row r="95" spans="1:13" x14ac:dyDescent="0.3">
      <c r="A95" s="26" t="s">
        <v>391</v>
      </c>
      <c r="B95" s="26" t="s">
        <v>390</v>
      </c>
      <c r="C95" s="26" t="s">
        <v>392</v>
      </c>
      <c r="D95" s="26" t="s">
        <v>142</v>
      </c>
      <c r="E95" s="26" t="s">
        <v>370</v>
      </c>
      <c r="F95" s="26" t="s">
        <v>728</v>
      </c>
      <c r="G95" s="26" t="s">
        <v>728</v>
      </c>
      <c r="H95" s="26" t="s">
        <v>728</v>
      </c>
      <c r="I95" s="26" t="s">
        <v>728</v>
      </c>
      <c r="J95" s="26" t="s">
        <v>182</v>
      </c>
      <c r="K95">
        <v>2</v>
      </c>
      <c r="L95">
        <v>2</v>
      </c>
      <c r="M95" s="26" t="s">
        <v>649</v>
      </c>
    </row>
    <row r="96" spans="1:13" x14ac:dyDescent="0.3">
      <c r="A96" s="26" t="s">
        <v>393</v>
      </c>
      <c r="B96" s="26" t="s">
        <v>394</v>
      </c>
      <c r="C96" s="26" t="s">
        <v>395</v>
      </c>
      <c r="D96" s="26" t="s">
        <v>142</v>
      </c>
      <c r="E96" s="26" t="s">
        <v>147</v>
      </c>
      <c r="F96" s="26" t="s">
        <v>728</v>
      </c>
      <c r="G96" s="26" t="s">
        <v>728</v>
      </c>
      <c r="H96" s="26" t="s">
        <v>728</v>
      </c>
      <c r="I96" s="26" t="s">
        <v>728</v>
      </c>
      <c r="J96" s="26" t="s">
        <v>182</v>
      </c>
      <c r="K96">
        <v>2</v>
      </c>
      <c r="L96">
        <v>2</v>
      </c>
      <c r="M96" s="26" t="s">
        <v>649</v>
      </c>
    </row>
    <row r="97" spans="1:13" x14ac:dyDescent="0.3">
      <c r="A97" s="26" t="s">
        <v>397</v>
      </c>
      <c r="B97" s="26" t="s">
        <v>398</v>
      </c>
      <c r="C97" s="26" t="s">
        <v>396</v>
      </c>
      <c r="D97" s="26" t="s">
        <v>728</v>
      </c>
      <c r="E97" s="26" t="s">
        <v>461</v>
      </c>
      <c r="F97" s="26" t="s">
        <v>147</v>
      </c>
      <c r="G97" s="26" t="s">
        <v>728</v>
      </c>
      <c r="H97" s="26" t="s">
        <v>728</v>
      </c>
      <c r="I97" s="26" t="s">
        <v>728</v>
      </c>
      <c r="J97" s="26" t="s">
        <v>175</v>
      </c>
      <c r="K97">
        <v>2</v>
      </c>
      <c r="L97">
        <v>2</v>
      </c>
      <c r="M97" s="26" t="s">
        <v>650</v>
      </c>
    </row>
    <row r="98" spans="1:13" x14ac:dyDescent="0.3">
      <c r="A98" s="26" t="s">
        <v>399</v>
      </c>
      <c r="B98" s="26" t="s">
        <v>400</v>
      </c>
      <c r="C98" s="26" t="s">
        <v>401</v>
      </c>
      <c r="D98" s="26" t="s">
        <v>388</v>
      </c>
      <c r="E98" s="26" t="s">
        <v>728</v>
      </c>
      <c r="F98" s="26" t="s">
        <v>728</v>
      </c>
      <c r="G98" s="26" t="s">
        <v>728</v>
      </c>
      <c r="H98" s="26" t="s">
        <v>728</v>
      </c>
      <c r="I98" s="26" t="s">
        <v>728</v>
      </c>
      <c r="J98" s="26" t="s">
        <v>159</v>
      </c>
      <c r="K98">
        <v>1</v>
      </c>
      <c r="L98">
        <v>1</v>
      </c>
      <c r="M98" s="26" t="s">
        <v>650</v>
      </c>
    </row>
    <row r="99" spans="1:13" x14ac:dyDescent="0.3">
      <c r="A99" s="26" t="s">
        <v>403</v>
      </c>
      <c r="B99" s="26" t="s">
        <v>404</v>
      </c>
      <c r="C99" s="26" t="s">
        <v>405</v>
      </c>
      <c r="D99" s="26" t="s">
        <v>86</v>
      </c>
      <c r="E99" s="26" t="s">
        <v>739</v>
      </c>
      <c r="F99" s="26" t="s">
        <v>728</v>
      </c>
      <c r="G99" s="26" t="s">
        <v>728</v>
      </c>
      <c r="H99" s="26" t="s">
        <v>728</v>
      </c>
      <c r="I99" s="26" t="s">
        <v>728</v>
      </c>
      <c r="J99" s="26" t="s">
        <v>159</v>
      </c>
      <c r="K99">
        <v>2</v>
      </c>
      <c r="L99">
        <v>1</v>
      </c>
      <c r="M99" s="26" t="s">
        <v>650</v>
      </c>
    </row>
    <row r="100" spans="1:13" x14ac:dyDescent="0.3">
      <c r="A100" s="26" t="s">
        <v>408</v>
      </c>
      <c r="B100" s="26" t="s">
        <v>409</v>
      </c>
      <c r="C100" s="26" t="s">
        <v>407</v>
      </c>
      <c r="D100" s="26" t="s">
        <v>342</v>
      </c>
      <c r="E100" s="26" t="s">
        <v>728</v>
      </c>
      <c r="F100" s="26" t="s">
        <v>728</v>
      </c>
      <c r="G100" s="26" t="s">
        <v>728</v>
      </c>
      <c r="H100" s="26" t="s">
        <v>728</v>
      </c>
      <c r="I100" s="26" t="s">
        <v>728</v>
      </c>
      <c r="J100" s="26" t="s">
        <v>162</v>
      </c>
      <c r="K100">
        <v>1</v>
      </c>
      <c r="L100">
        <v>1</v>
      </c>
      <c r="M100" s="26" t="s">
        <v>650</v>
      </c>
    </row>
    <row r="101" spans="1:13" x14ac:dyDescent="0.3">
      <c r="A101" s="26" t="s">
        <v>411</v>
      </c>
      <c r="B101" s="26" t="s">
        <v>410</v>
      </c>
      <c r="C101" s="26" t="s">
        <v>412</v>
      </c>
      <c r="D101" s="26" t="s">
        <v>245</v>
      </c>
      <c r="E101" s="26" t="s">
        <v>728</v>
      </c>
      <c r="F101" s="26" t="s">
        <v>728</v>
      </c>
      <c r="G101" s="26" t="s">
        <v>728</v>
      </c>
      <c r="H101" s="26" t="s">
        <v>728</v>
      </c>
      <c r="I101" s="26" t="s">
        <v>728</v>
      </c>
      <c r="J101" s="26" t="s">
        <v>159</v>
      </c>
      <c r="K101">
        <v>1</v>
      </c>
      <c r="L101">
        <v>1</v>
      </c>
      <c r="M101" s="26" t="s">
        <v>650</v>
      </c>
    </row>
    <row r="102" spans="1:13" x14ac:dyDescent="0.3">
      <c r="A102" s="26" t="s">
        <v>414</v>
      </c>
      <c r="B102" s="26" t="s">
        <v>415</v>
      </c>
      <c r="C102" s="26" t="s">
        <v>413</v>
      </c>
      <c r="D102" s="26" t="s">
        <v>78</v>
      </c>
      <c r="E102" s="26" t="s">
        <v>247</v>
      </c>
      <c r="F102" s="26" t="s">
        <v>728</v>
      </c>
      <c r="G102" s="26" t="s">
        <v>728</v>
      </c>
      <c r="H102" s="26" t="s">
        <v>728</v>
      </c>
      <c r="I102" s="26" t="s">
        <v>728</v>
      </c>
      <c r="J102" s="26" t="s">
        <v>238</v>
      </c>
      <c r="K102">
        <v>2</v>
      </c>
      <c r="L102">
        <v>2</v>
      </c>
      <c r="M102" s="26" t="s">
        <v>650</v>
      </c>
    </row>
    <row r="103" spans="1:13" x14ac:dyDescent="0.3">
      <c r="A103" s="26" t="s">
        <v>418</v>
      </c>
      <c r="B103" s="26" t="s">
        <v>417</v>
      </c>
      <c r="C103" s="26" t="s">
        <v>419</v>
      </c>
      <c r="D103" s="26" t="s">
        <v>461</v>
      </c>
      <c r="E103" s="26" t="s">
        <v>728</v>
      </c>
      <c r="F103" s="26" t="s">
        <v>728</v>
      </c>
      <c r="G103" s="26" t="s">
        <v>728</v>
      </c>
      <c r="H103" s="26" t="s">
        <v>728</v>
      </c>
      <c r="I103" s="26" t="s">
        <v>728</v>
      </c>
      <c r="J103" s="26" t="s">
        <v>431</v>
      </c>
      <c r="K103">
        <v>1</v>
      </c>
      <c r="L103">
        <v>2</v>
      </c>
      <c r="M103" s="26" t="s">
        <v>650</v>
      </c>
    </row>
    <row r="104" spans="1:13" x14ac:dyDescent="0.3">
      <c r="A104" s="26" t="s">
        <v>421</v>
      </c>
      <c r="B104" s="26" t="s">
        <v>422</v>
      </c>
      <c r="C104" s="26" t="s">
        <v>423</v>
      </c>
      <c r="D104" s="26" t="s">
        <v>78</v>
      </c>
      <c r="E104" s="26" t="s">
        <v>166</v>
      </c>
      <c r="F104" s="26" t="s">
        <v>728</v>
      </c>
      <c r="G104" s="26" t="s">
        <v>728</v>
      </c>
      <c r="H104" s="26" t="s">
        <v>728</v>
      </c>
      <c r="I104" s="26" t="s">
        <v>728</v>
      </c>
      <c r="J104" s="26" t="s">
        <v>424</v>
      </c>
      <c r="K104">
        <v>2</v>
      </c>
      <c r="L104">
        <v>3</v>
      </c>
      <c r="M104" s="26" t="s">
        <v>650</v>
      </c>
    </row>
    <row r="105" spans="1:13" x14ac:dyDescent="0.3">
      <c r="A105" s="26" t="s">
        <v>425</v>
      </c>
      <c r="B105" s="26" t="s">
        <v>426</v>
      </c>
      <c r="C105" s="26" t="s">
        <v>427</v>
      </c>
      <c r="D105" s="26" t="s">
        <v>461</v>
      </c>
      <c r="E105" s="26" t="s">
        <v>728</v>
      </c>
      <c r="F105" s="26" t="s">
        <v>728</v>
      </c>
      <c r="G105" s="26" t="s">
        <v>728</v>
      </c>
      <c r="H105" s="26" t="s">
        <v>728</v>
      </c>
      <c r="I105" s="26" t="s">
        <v>728</v>
      </c>
      <c r="J105" s="26" t="s">
        <v>493</v>
      </c>
      <c r="K105">
        <v>1</v>
      </c>
      <c r="L105">
        <v>2</v>
      </c>
      <c r="M105" s="26" t="s">
        <v>650</v>
      </c>
    </row>
    <row r="106" spans="1:13" x14ac:dyDescent="0.3">
      <c r="A106" s="26" t="s">
        <v>428</v>
      </c>
      <c r="B106" s="26" t="s">
        <v>429</v>
      </c>
      <c r="C106" s="26" t="s">
        <v>430</v>
      </c>
      <c r="D106" s="26" t="s">
        <v>164</v>
      </c>
      <c r="E106" s="26" t="s">
        <v>129</v>
      </c>
      <c r="F106" s="26" t="s">
        <v>78</v>
      </c>
      <c r="G106" s="26" t="s">
        <v>342</v>
      </c>
      <c r="H106" s="26" t="s">
        <v>728</v>
      </c>
      <c r="I106" s="26" t="s">
        <v>728</v>
      </c>
      <c r="J106" s="26" t="s">
        <v>583</v>
      </c>
      <c r="K106">
        <v>4</v>
      </c>
      <c r="L106">
        <v>3</v>
      </c>
      <c r="M106" s="26" t="s">
        <v>650</v>
      </c>
    </row>
    <row r="107" spans="1:13" x14ac:dyDescent="0.3">
      <c r="A107" s="26" t="s">
        <v>438</v>
      </c>
      <c r="B107" s="26" t="s">
        <v>437</v>
      </c>
      <c r="C107" s="26" t="s">
        <v>449</v>
      </c>
      <c r="D107" s="26" t="s">
        <v>740</v>
      </c>
      <c r="E107" s="26" t="s">
        <v>728</v>
      </c>
      <c r="F107" s="26" t="s">
        <v>728</v>
      </c>
      <c r="G107" s="26" t="s">
        <v>728</v>
      </c>
      <c r="H107" s="26" t="s">
        <v>728</v>
      </c>
      <c r="I107" s="26" t="s">
        <v>728</v>
      </c>
      <c r="J107" s="26" t="s">
        <v>159</v>
      </c>
      <c r="K107">
        <v>1</v>
      </c>
      <c r="L107">
        <v>1</v>
      </c>
      <c r="M107" s="26" t="s">
        <v>650</v>
      </c>
    </row>
    <row r="108" spans="1:13" x14ac:dyDescent="0.3">
      <c r="A108" s="26" t="s">
        <v>440</v>
      </c>
      <c r="B108" s="26" t="s">
        <v>439</v>
      </c>
      <c r="C108" s="26" t="s">
        <v>442</v>
      </c>
      <c r="D108" s="26" t="s">
        <v>78</v>
      </c>
      <c r="E108" s="26" t="s">
        <v>728</v>
      </c>
      <c r="F108" s="26" t="s">
        <v>728</v>
      </c>
      <c r="G108" s="26" t="s">
        <v>728</v>
      </c>
      <c r="H108" s="26" t="s">
        <v>728</v>
      </c>
      <c r="I108" s="26" t="s">
        <v>728</v>
      </c>
      <c r="J108" s="26" t="s">
        <v>441</v>
      </c>
      <c r="K108">
        <v>1</v>
      </c>
      <c r="L108">
        <v>2</v>
      </c>
      <c r="M108" s="26" t="s">
        <v>650</v>
      </c>
    </row>
    <row r="109" spans="1:13" x14ac:dyDescent="0.3">
      <c r="A109" s="26" t="s">
        <v>443</v>
      </c>
      <c r="B109" s="26" t="s">
        <v>444</v>
      </c>
      <c r="C109" s="26" t="s">
        <v>445</v>
      </c>
      <c r="D109" s="26" t="s">
        <v>710</v>
      </c>
      <c r="E109" s="26" t="s">
        <v>741</v>
      </c>
      <c r="F109" s="26" t="s">
        <v>728</v>
      </c>
      <c r="G109" s="26" t="s">
        <v>728</v>
      </c>
      <c r="H109" s="26" t="s">
        <v>728</v>
      </c>
      <c r="I109" s="26" t="s">
        <v>728</v>
      </c>
      <c r="J109" s="26" t="s">
        <v>182</v>
      </c>
      <c r="K109">
        <v>2</v>
      </c>
      <c r="L109">
        <v>2</v>
      </c>
      <c r="M109" s="26" t="s">
        <v>650</v>
      </c>
    </row>
    <row r="110" spans="1:13" x14ac:dyDescent="0.3">
      <c r="A110" s="26" t="s">
        <v>447</v>
      </c>
      <c r="B110" s="26" t="s">
        <v>448</v>
      </c>
      <c r="C110" s="26" t="s">
        <v>449</v>
      </c>
      <c r="D110" s="26" t="s">
        <v>183</v>
      </c>
      <c r="E110" s="26" t="s">
        <v>450</v>
      </c>
      <c r="F110" s="26" t="s">
        <v>342</v>
      </c>
      <c r="G110" s="26" t="s">
        <v>728</v>
      </c>
      <c r="H110" s="26" t="s">
        <v>728</v>
      </c>
      <c r="I110" s="26" t="s">
        <v>728</v>
      </c>
      <c r="J110" s="26" t="s">
        <v>181</v>
      </c>
      <c r="K110">
        <v>3</v>
      </c>
      <c r="L110">
        <v>2</v>
      </c>
      <c r="M110" s="26" t="s">
        <v>650</v>
      </c>
    </row>
    <row r="111" spans="1:13" x14ac:dyDescent="0.3">
      <c r="A111" s="26" t="s">
        <v>454</v>
      </c>
      <c r="B111" s="26" t="s">
        <v>455</v>
      </c>
      <c r="C111" s="26" t="s">
        <v>456</v>
      </c>
      <c r="D111" s="26" t="s">
        <v>457</v>
      </c>
      <c r="E111" s="26" t="s">
        <v>728</v>
      </c>
      <c r="F111" s="26" t="s">
        <v>728</v>
      </c>
      <c r="G111" s="26" t="s">
        <v>728</v>
      </c>
      <c r="H111" s="26" t="s">
        <v>728</v>
      </c>
      <c r="I111" s="26" t="s">
        <v>728</v>
      </c>
      <c r="J111" s="26" t="s">
        <v>171</v>
      </c>
      <c r="K111">
        <v>1</v>
      </c>
      <c r="L111">
        <v>1</v>
      </c>
      <c r="M111" s="26" t="s">
        <v>650</v>
      </c>
    </row>
    <row r="112" spans="1:13" x14ac:dyDescent="0.3">
      <c r="A112" s="26" t="s">
        <v>459</v>
      </c>
      <c r="B112" s="26" t="s">
        <v>458</v>
      </c>
      <c r="C112" s="26" t="s">
        <v>460</v>
      </c>
      <c r="D112" s="26" t="s">
        <v>461</v>
      </c>
      <c r="E112" s="26" t="s">
        <v>728</v>
      </c>
      <c r="F112" s="26" t="s">
        <v>728</v>
      </c>
      <c r="G112" s="26" t="s">
        <v>728</v>
      </c>
      <c r="H112" s="26" t="s">
        <v>728</v>
      </c>
      <c r="I112" s="26" t="s">
        <v>728</v>
      </c>
      <c r="J112" s="26" t="s">
        <v>431</v>
      </c>
      <c r="K112">
        <v>1</v>
      </c>
      <c r="L112">
        <v>2</v>
      </c>
      <c r="M112" s="26" t="s">
        <v>650</v>
      </c>
    </row>
    <row r="113" spans="1:13" x14ac:dyDescent="0.3">
      <c r="A113" s="26" t="s">
        <v>462</v>
      </c>
      <c r="B113" s="26" t="s">
        <v>463</v>
      </c>
      <c r="C113" s="26" t="s">
        <v>464</v>
      </c>
      <c r="D113" s="26" t="s">
        <v>147</v>
      </c>
      <c r="E113" s="26" t="s">
        <v>728</v>
      </c>
      <c r="F113" s="26" t="s">
        <v>728</v>
      </c>
      <c r="G113" s="26" t="s">
        <v>728</v>
      </c>
      <c r="H113" s="26" t="s">
        <v>728</v>
      </c>
      <c r="I113" s="26" t="s">
        <v>728</v>
      </c>
      <c r="J113" s="26" t="s">
        <v>742</v>
      </c>
      <c r="K113">
        <v>1</v>
      </c>
      <c r="L113">
        <v>2</v>
      </c>
      <c r="M113" s="26" t="s">
        <v>650</v>
      </c>
    </row>
    <row r="114" spans="1:13" x14ac:dyDescent="0.3">
      <c r="A114" s="26" t="s">
        <v>466</v>
      </c>
      <c r="B114" s="26" t="s">
        <v>467</v>
      </c>
      <c r="C114" s="26" t="s">
        <v>468</v>
      </c>
      <c r="D114" s="26" t="s">
        <v>78</v>
      </c>
      <c r="E114" s="26" t="s">
        <v>450</v>
      </c>
      <c r="F114" s="26" t="s">
        <v>662</v>
      </c>
      <c r="G114" s="26" t="s">
        <v>728</v>
      </c>
      <c r="H114" s="26" t="s">
        <v>728</v>
      </c>
      <c r="I114" s="26" t="s">
        <v>728</v>
      </c>
      <c r="J114" s="26" t="s">
        <v>743</v>
      </c>
      <c r="K114">
        <v>3</v>
      </c>
      <c r="L114">
        <v>3</v>
      </c>
      <c r="M114" s="26" t="s">
        <v>650</v>
      </c>
    </row>
    <row r="115" spans="1:13" x14ac:dyDescent="0.3">
      <c r="A115" s="26" t="s">
        <v>471</v>
      </c>
      <c r="B115" s="26" t="s">
        <v>472</v>
      </c>
      <c r="C115" s="26" t="s">
        <v>470</v>
      </c>
      <c r="D115" s="26" t="s">
        <v>147</v>
      </c>
      <c r="E115" s="26" t="s">
        <v>728</v>
      </c>
      <c r="F115" s="26" t="s">
        <v>728</v>
      </c>
      <c r="G115" s="26" t="s">
        <v>728</v>
      </c>
      <c r="H115" s="26" t="s">
        <v>728</v>
      </c>
      <c r="I115" s="26" t="s">
        <v>728</v>
      </c>
      <c r="J115" s="26" t="s">
        <v>181</v>
      </c>
      <c r="K115">
        <v>1</v>
      </c>
      <c r="L115">
        <v>2</v>
      </c>
      <c r="M115" s="26" t="s">
        <v>650</v>
      </c>
    </row>
    <row r="116" spans="1:13" x14ac:dyDescent="0.3">
      <c r="A116" s="26" t="s">
        <v>475</v>
      </c>
      <c r="B116" s="26" t="s">
        <v>474</v>
      </c>
      <c r="C116" s="26" t="s">
        <v>473</v>
      </c>
      <c r="D116" s="26" t="s">
        <v>163</v>
      </c>
      <c r="E116" s="26" t="s">
        <v>728</v>
      </c>
      <c r="F116" s="26" t="s">
        <v>728</v>
      </c>
      <c r="G116" s="26" t="s">
        <v>728</v>
      </c>
      <c r="H116" s="26" t="s">
        <v>728</v>
      </c>
      <c r="I116" s="26" t="s">
        <v>728</v>
      </c>
      <c r="J116" s="26" t="s">
        <v>162</v>
      </c>
      <c r="K116">
        <v>1</v>
      </c>
      <c r="L116">
        <v>1</v>
      </c>
      <c r="M116" s="26" t="s">
        <v>650</v>
      </c>
    </row>
    <row r="117" spans="1:13" x14ac:dyDescent="0.3">
      <c r="A117" s="26" t="s">
        <v>476</v>
      </c>
      <c r="B117" s="26" t="s">
        <v>477</v>
      </c>
      <c r="C117" s="26" t="s">
        <v>478</v>
      </c>
      <c r="D117" s="26" t="s">
        <v>533</v>
      </c>
      <c r="E117" s="26" t="s">
        <v>739</v>
      </c>
      <c r="F117" s="26" t="s">
        <v>728</v>
      </c>
      <c r="G117" s="26" t="s">
        <v>728</v>
      </c>
      <c r="H117" s="26" t="s">
        <v>728</v>
      </c>
      <c r="I117" s="26" t="s">
        <v>728</v>
      </c>
      <c r="J117" s="26" t="s">
        <v>162</v>
      </c>
      <c r="K117">
        <v>2</v>
      </c>
      <c r="L117">
        <v>1</v>
      </c>
      <c r="M117" s="26" t="s">
        <v>649</v>
      </c>
    </row>
    <row r="118" spans="1:13" x14ac:dyDescent="0.3">
      <c r="A118" s="26" t="s">
        <v>481</v>
      </c>
      <c r="B118" s="26" t="s">
        <v>482</v>
      </c>
      <c r="C118" s="26" t="s">
        <v>483</v>
      </c>
      <c r="D118" s="26" t="s">
        <v>461</v>
      </c>
      <c r="E118" s="26" t="s">
        <v>728</v>
      </c>
      <c r="F118" s="26" t="s">
        <v>728</v>
      </c>
      <c r="G118" s="26" t="s">
        <v>728</v>
      </c>
      <c r="H118" s="26" t="s">
        <v>728</v>
      </c>
      <c r="I118" s="26" t="s">
        <v>728</v>
      </c>
      <c r="J118" s="26" t="s">
        <v>431</v>
      </c>
      <c r="K118">
        <v>1</v>
      </c>
      <c r="L118">
        <v>2</v>
      </c>
      <c r="M118" s="26" t="s">
        <v>650</v>
      </c>
    </row>
    <row r="119" spans="1:13" x14ac:dyDescent="0.3">
      <c r="A119" s="26" t="s">
        <v>452</v>
      </c>
      <c r="B119" s="26" t="s">
        <v>451</v>
      </c>
      <c r="C119" s="26" t="s">
        <v>453</v>
      </c>
      <c r="D119" s="26" t="s">
        <v>189</v>
      </c>
      <c r="E119" s="26" t="s">
        <v>728</v>
      </c>
      <c r="F119" s="26" t="s">
        <v>728</v>
      </c>
      <c r="G119" s="26" t="s">
        <v>728</v>
      </c>
      <c r="H119" s="26" t="s">
        <v>728</v>
      </c>
      <c r="I119" s="26" t="s">
        <v>728</v>
      </c>
      <c r="J119" s="26" t="s">
        <v>162</v>
      </c>
      <c r="K119">
        <v>1</v>
      </c>
      <c r="L119">
        <v>1</v>
      </c>
      <c r="M119" s="26" t="s">
        <v>650</v>
      </c>
    </row>
    <row r="120" spans="1:13" x14ac:dyDescent="0.3">
      <c r="A120" s="26" t="s">
        <v>484</v>
      </c>
      <c r="B120" s="26" t="s">
        <v>485</v>
      </c>
      <c r="C120" s="26" t="s">
        <v>486</v>
      </c>
      <c r="D120" s="26" t="s">
        <v>78</v>
      </c>
      <c r="E120" s="26" t="s">
        <v>164</v>
      </c>
      <c r="F120" s="26" t="s">
        <v>734</v>
      </c>
      <c r="G120" s="26" t="s">
        <v>728</v>
      </c>
      <c r="H120" s="26" t="s">
        <v>728</v>
      </c>
      <c r="I120" s="26" t="s">
        <v>728</v>
      </c>
      <c r="J120" s="26" t="s">
        <v>488</v>
      </c>
      <c r="K120">
        <v>3</v>
      </c>
      <c r="L120">
        <v>3</v>
      </c>
      <c r="M120" s="26" t="s">
        <v>650</v>
      </c>
    </row>
    <row r="121" spans="1:13" x14ac:dyDescent="0.3">
      <c r="A121" s="26" t="s">
        <v>489</v>
      </c>
      <c r="B121" s="26" t="s">
        <v>490</v>
      </c>
      <c r="C121" s="26" t="s">
        <v>491</v>
      </c>
      <c r="D121" s="26" t="s">
        <v>461</v>
      </c>
      <c r="E121" s="26" t="s">
        <v>78</v>
      </c>
      <c r="F121" s="26" t="s">
        <v>705</v>
      </c>
      <c r="G121" s="26" t="s">
        <v>457</v>
      </c>
      <c r="H121" s="26" t="s">
        <v>728</v>
      </c>
      <c r="I121" s="26" t="s">
        <v>728</v>
      </c>
      <c r="J121" s="26" t="s">
        <v>493</v>
      </c>
      <c r="K121">
        <v>4</v>
      </c>
      <c r="L121">
        <v>2</v>
      </c>
      <c r="M121" s="26" t="s">
        <v>650</v>
      </c>
    </row>
    <row r="122" spans="1:13" x14ac:dyDescent="0.3">
      <c r="A122" s="26" t="s">
        <v>494</v>
      </c>
      <c r="B122" s="26" t="s">
        <v>495</v>
      </c>
      <c r="C122" s="26" t="s">
        <v>496</v>
      </c>
      <c r="D122" s="26" t="s">
        <v>461</v>
      </c>
      <c r="E122" s="26" t="s">
        <v>728</v>
      </c>
      <c r="F122" s="26" t="s">
        <v>728</v>
      </c>
      <c r="G122" s="26" t="s">
        <v>728</v>
      </c>
      <c r="H122" s="26" t="s">
        <v>728</v>
      </c>
      <c r="I122" s="26" t="s">
        <v>728</v>
      </c>
      <c r="J122" s="26" t="s">
        <v>493</v>
      </c>
      <c r="K122">
        <v>1</v>
      </c>
      <c r="L122">
        <v>2</v>
      </c>
      <c r="M122" s="26" t="s">
        <v>650</v>
      </c>
    </row>
    <row r="123" spans="1:13" x14ac:dyDescent="0.3">
      <c r="A123" s="26" t="s">
        <v>497</v>
      </c>
      <c r="B123" s="26" t="s">
        <v>498</v>
      </c>
      <c r="C123" s="26" t="s">
        <v>690</v>
      </c>
      <c r="D123" s="26" t="s">
        <v>147</v>
      </c>
      <c r="E123" s="26" t="s">
        <v>728</v>
      </c>
      <c r="F123" s="26" t="s">
        <v>728</v>
      </c>
      <c r="G123" s="26" t="s">
        <v>728</v>
      </c>
      <c r="H123" s="26" t="s">
        <v>728</v>
      </c>
      <c r="I123" s="26" t="s">
        <v>728</v>
      </c>
      <c r="J123" s="26" t="s">
        <v>691</v>
      </c>
      <c r="K123">
        <v>1</v>
      </c>
      <c r="L123">
        <v>3</v>
      </c>
      <c r="M123" s="26" t="s">
        <v>650</v>
      </c>
    </row>
    <row r="124" spans="1:13" x14ac:dyDescent="0.3">
      <c r="A124" s="26" t="s">
        <v>499</v>
      </c>
      <c r="B124" s="26" t="s">
        <v>500</v>
      </c>
      <c r="C124" s="26" t="s">
        <v>501</v>
      </c>
      <c r="D124" s="26" t="s">
        <v>662</v>
      </c>
      <c r="E124" s="26" t="s">
        <v>728</v>
      </c>
      <c r="F124" s="26" t="s">
        <v>728</v>
      </c>
      <c r="G124" s="26" t="s">
        <v>728</v>
      </c>
      <c r="H124" s="26" t="s">
        <v>728</v>
      </c>
      <c r="I124" s="26" t="s">
        <v>728</v>
      </c>
      <c r="J124" s="26" t="s">
        <v>160</v>
      </c>
      <c r="K124">
        <v>1</v>
      </c>
      <c r="L124">
        <v>2</v>
      </c>
      <c r="M124" s="26" t="s">
        <v>650</v>
      </c>
    </row>
    <row r="125" spans="1:13" x14ac:dyDescent="0.3">
      <c r="A125" s="26" t="s">
        <v>502</v>
      </c>
      <c r="B125" s="26" t="s">
        <v>503</v>
      </c>
      <c r="C125" s="26" t="s">
        <v>504</v>
      </c>
      <c r="D125" s="26" t="s">
        <v>710</v>
      </c>
      <c r="E125" s="26" t="s">
        <v>86</v>
      </c>
      <c r="F125" s="26" t="s">
        <v>728</v>
      </c>
      <c r="G125" s="26" t="s">
        <v>728</v>
      </c>
      <c r="H125" s="26" t="s">
        <v>728</v>
      </c>
      <c r="I125" s="26" t="s">
        <v>728</v>
      </c>
      <c r="J125" s="26" t="s">
        <v>171</v>
      </c>
      <c r="K125">
        <v>2</v>
      </c>
      <c r="L125">
        <v>1</v>
      </c>
      <c r="M125" s="26" t="s">
        <v>650</v>
      </c>
    </row>
    <row r="126" spans="1:13" x14ac:dyDescent="0.3">
      <c r="A126" s="26" t="s">
        <v>506</v>
      </c>
      <c r="B126" s="26" t="s">
        <v>507</v>
      </c>
      <c r="C126" s="26" t="s">
        <v>663</v>
      </c>
      <c r="D126" s="26" t="s">
        <v>508</v>
      </c>
      <c r="E126" s="26" t="s">
        <v>457</v>
      </c>
      <c r="F126" s="26" t="s">
        <v>728</v>
      </c>
      <c r="G126" s="26" t="s">
        <v>728</v>
      </c>
      <c r="H126" s="26" t="s">
        <v>728</v>
      </c>
      <c r="I126" s="26" t="s">
        <v>728</v>
      </c>
      <c r="J126" s="26" t="s">
        <v>182</v>
      </c>
      <c r="K126">
        <v>2</v>
      </c>
      <c r="L126">
        <v>2</v>
      </c>
      <c r="M126" s="26" t="s">
        <v>650</v>
      </c>
    </row>
    <row r="127" spans="1:13" x14ac:dyDescent="0.3">
      <c r="A127" s="26" t="s">
        <v>510</v>
      </c>
      <c r="B127" s="26" t="s">
        <v>511</v>
      </c>
      <c r="C127" s="26" t="s">
        <v>512</v>
      </c>
      <c r="D127" s="26" t="s">
        <v>170</v>
      </c>
      <c r="E127" s="26" t="s">
        <v>461</v>
      </c>
      <c r="F127" s="26" t="s">
        <v>728</v>
      </c>
      <c r="G127" s="26" t="s">
        <v>728</v>
      </c>
      <c r="H127" s="26" t="s">
        <v>728</v>
      </c>
      <c r="I127" s="26" t="s">
        <v>728</v>
      </c>
      <c r="J127" s="26" t="s">
        <v>513</v>
      </c>
      <c r="K127">
        <v>2</v>
      </c>
      <c r="L127">
        <v>3</v>
      </c>
      <c r="M127" s="26" t="s">
        <v>650</v>
      </c>
    </row>
    <row r="128" spans="1:13" x14ac:dyDescent="0.3">
      <c r="A128" s="26" t="s">
        <v>516</v>
      </c>
      <c r="B128" s="26" t="s">
        <v>517</v>
      </c>
      <c r="C128" s="26" t="s">
        <v>518</v>
      </c>
      <c r="D128" s="26" t="s">
        <v>660</v>
      </c>
      <c r="E128" s="26" t="s">
        <v>728</v>
      </c>
      <c r="F128" s="26" t="s">
        <v>166</v>
      </c>
      <c r="G128" s="26" t="s">
        <v>164</v>
      </c>
      <c r="H128" s="26" t="s">
        <v>129</v>
      </c>
      <c r="I128" s="26" t="s">
        <v>728</v>
      </c>
      <c r="J128" s="26" t="s">
        <v>431</v>
      </c>
      <c r="K128">
        <v>4</v>
      </c>
      <c r="L128">
        <v>2</v>
      </c>
      <c r="M128" s="26" t="s">
        <v>650</v>
      </c>
    </row>
    <row r="129" spans="1:13" x14ac:dyDescent="0.3">
      <c r="A129" s="26" t="s">
        <v>523</v>
      </c>
      <c r="B129" s="26" t="s">
        <v>524</v>
      </c>
      <c r="C129" s="26" t="s">
        <v>525</v>
      </c>
      <c r="D129" s="26" t="s">
        <v>147</v>
      </c>
      <c r="E129" s="26" t="s">
        <v>728</v>
      </c>
      <c r="F129" s="26" t="s">
        <v>728</v>
      </c>
      <c r="G129" s="26" t="s">
        <v>728</v>
      </c>
      <c r="H129" s="26" t="s">
        <v>728</v>
      </c>
      <c r="I129" s="26" t="s">
        <v>728</v>
      </c>
      <c r="J129" s="26" t="s">
        <v>692</v>
      </c>
      <c r="K129">
        <v>1</v>
      </c>
      <c r="L129">
        <v>3</v>
      </c>
      <c r="M129" s="26" t="s">
        <v>650</v>
      </c>
    </row>
    <row r="130" spans="1:13" x14ac:dyDescent="0.3">
      <c r="A130" s="26" t="s">
        <v>526</v>
      </c>
      <c r="B130" s="26" t="s">
        <v>527</v>
      </c>
      <c r="C130" s="26" t="s">
        <v>728</v>
      </c>
      <c r="D130" s="26" t="s">
        <v>78</v>
      </c>
      <c r="E130" s="26" t="s">
        <v>461</v>
      </c>
      <c r="F130" s="26" t="s">
        <v>728</v>
      </c>
      <c r="G130" s="26" t="s">
        <v>728</v>
      </c>
      <c r="H130" s="26" t="s">
        <v>728</v>
      </c>
      <c r="I130" s="26" t="s">
        <v>728</v>
      </c>
      <c r="J130" s="26" t="s">
        <v>431</v>
      </c>
      <c r="K130">
        <v>2</v>
      </c>
      <c r="L130">
        <v>2</v>
      </c>
      <c r="M130" s="26" t="s">
        <v>650</v>
      </c>
    </row>
    <row r="131" spans="1:13" x14ac:dyDescent="0.3">
      <c r="A131" s="26" t="s">
        <v>529</v>
      </c>
      <c r="B131" s="26" t="s">
        <v>530</v>
      </c>
      <c r="C131" s="26" t="s">
        <v>528</v>
      </c>
      <c r="D131" s="26" t="s">
        <v>662</v>
      </c>
      <c r="E131" s="26" t="s">
        <v>728</v>
      </c>
      <c r="F131" s="26" t="s">
        <v>78</v>
      </c>
      <c r="G131" s="26" t="s">
        <v>660</v>
      </c>
      <c r="H131" s="26" t="s">
        <v>728</v>
      </c>
      <c r="I131" s="26" t="s">
        <v>728</v>
      </c>
      <c r="J131" s="26" t="s">
        <v>675</v>
      </c>
      <c r="K131">
        <v>3</v>
      </c>
      <c r="L131">
        <v>2</v>
      </c>
      <c r="M131" s="26" t="s">
        <v>650</v>
      </c>
    </row>
    <row r="132" spans="1:13" x14ac:dyDescent="0.3">
      <c r="A132" s="26" t="s">
        <v>532</v>
      </c>
      <c r="B132" s="26" t="s">
        <v>534</v>
      </c>
      <c r="C132" s="26" t="s">
        <v>535</v>
      </c>
      <c r="D132" s="26" t="s">
        <v>728</v>
      </c>
      <c r="E132" s="26" t="s">
        <v>533</v>
      </c>
      <c r="F132" s="26" t="s">
        <v>660</v>
      </c>
      <c r="G132" s="26" t="s">
        <v>728</v>
      </c>
      <c r="H132" s="26" t="s">
        <v>728</v>
      </c>
      <c r="I132" s="26" t="s">
        <v>728</v>
      </c>
      <c r="J132" s="26" t="s">
        <v>436</v>
      </c>
      <c r="K132">
        <v>2</v>
      </c>
      <c r="L132">
        <v>2</v>
      </c>
      <c r="M132" s="26" t="s">
        <v>649</v>
      </c>
    </row>
    <row r="133" spans="1:13" x14ac:dyDescent="0.3">
      <c r="A133" s="26" t="s">
        <v>536</v>
      </c>
      <c r="B133" s="26" t="s">
        <v>537</v>
      </c>
      <c r="C133" s="26" t="s">
        <v>693</v>
      </c>
      <c r="D133" s="26" t="s">
        <v>450</v>
      </c>
      <c r="E133" s="26" t="s">
        <v>728</v>
      </c>
      <c r="F133" s="26" t="s">
        <v>728</v>
      </c>
      <c r="G133" s="26" t="s">
        <v>728</v>
      </c>
      <c r="H133" s="26" t="s">
        <v>728</v>
      </c>
      <c r="I133" s="26" t="s">
        <v>728</v>
      </c>
      <c r="J133" s="26" t="s">
        <v>162</v>
      </c>
      <c r="K133">
        <v>1</v>
      </c>
      <c r="L133">
        <v>1</v>
      </c>
      <c r="M133" s="26" t="s">
        <v>649</v>
      </c>
    </row>
    <row r="134" spans="1:13" x14ac:dyDescent="0.3">
      <c r="A134" s="26" t="s">
        <v>539</v>
      </c>
      <c r="B134" s="26" t="s">
        <v>541</v>
      </c>
      <c r="C134" s="26" t="s">
        <v>540</v>
      </c>
      <c r="D134" s="26" t="s">
        <v>660</v>
      </c>
      <c r="E134" s="26" t="s">
        <v>728</v>
      </c>
      <c r="F134" s="26" t="s">
        <v>728</v>
      </c>
      <c r="G134" s="26" t="s">
        <v>728</v>
      </c>
      <c r="H134" s="26" t="s">
        <v>728</v>
      </c>
      <c r="I134" s="26" t="s">
        <v>728</v>
      </c>
      <c r="J134" s="26" t="s">
        <v>162</v>
      </c>
      <c r="K134">
        <v>1</v>
      </c>
      <c r="L134">
        <v>1</v>
      </c>
      <c r="M134" s="26" t="s">
        <v>728</v>
      </c>
    </row>
    <row r="135" spans="1:13" x14ac:dyDescent="0.3">
      <c r="A135" s="26" t="s">
        <v>542</v>
      </c>
      <c r="B135" s="26" t="s">
        <v>543</v>
      </c>
      <c r="C135" s="26" t="s">
        <v>544</v>
      </c>
      <c r="D135" s="26" t="s">
        <v>164</v>
      </c>
      <c r="E135" s="26" t="s">
        <v>739</v>
      </c>
      <c r="F135" s="26" t="s">
        <v>728</v>
      </c>
      <c r="G135" s="26" t="s">
        <v>728</v>
      </c>
      <c r="H135" s="26" t="s">
        <v>728</v>
      </c>
      <c r="I135" s="26" t="s">
        <v>728</v>
      </c>
      <c r="J135" s="26" t="s">
        <v>441</v>
      </c>
      <c r="K135">
        <v>2</v>
      </c>
      <c r="L135">
        <v>2</v>
      </c>
      <c r="M135" s="26" t="s">
        <v>650</v>
      </c>
    </row>
    <row r="136" spans="1:13" x14ac:dyDescent="0.3">
      <c r="A136" s="26" t="s">
        <v>548</v>
      </c>
      <c r="B136" s="26" t="s">
        <v>546</v>
      </c>
      <c r="C136" s="26" t="s">
        <v>547</v>
      </c>
      <c r="D136" s="26" t="s">
        <v>659</v>
      </c>
      <c r="E136" s="26" t="s">
        <v>728</v>
      </c>
      <c r="F136" s="26" t="s">
        <v>728</v>
      </c>
      <c r="G136" s="26" t="s">
        <v>728</v>
      </c>
      <c r="H136" s="26" t="s">
        <v>728</v>
      </c>
      <c r="I136" s="26" t="s">
        <v>728</v>
      </c>
      <c r="J136" s="26" t="s">
        <v>162</v>
      </c>
      <c r="K136">
        <v>1</v>
      </c>
      <c r="L136">
        <v>1</v>
      </c>
      <c r="M136" s="26" t="s">
        <v>650</v>
      </c>
    </row>
    <row r="137" spans="1:13" x14ac:dyDescent="0.3">
      <c r="A137" s="26" t="s">
        <v>550</v>
      </c>
      <c r="B137" s="26" t="s">
        <v>551</v>
      </c>
      <c r="C137" s="26" t="s">
        <v>552</v>
      </c>
      <c r="D137" s="26" t="s">
        <v>147</v>
      </c>
      <c r="E137" s="26" t="s">
        <v>710</v>
      </c>
      <c r="F137" s="26" t="s">
        <v>728</v>
      </c>
      <c r="G137" s="26" t="s">
        <v>728</v>
      </c>
      <c r="H137" s="26" t="s">
        <v>728</v>
      </c>
      <c r="I137" s="26" t="s">
        <v>728</v>
      </c>
      <c r="J137" s="26" t="s">
        <v>162</v>
      </c>
      <c r="K137">
        <v>2</v>
      </c>
      <c r="L137">
        <v>1</v>
      </c>
      <c r="M137" s="26" t="s">
        <v>650</v>
      </c>
    </row>
    <row r="138" spans="1:13" x14ac:dyDescent="0.3">
      <c r="A138" s="26" t="s">
        <v>555</v>
      </c>
      <c r="B138" s="26" t="s">
        <v>554</v>
      </c>
      <c r="C138" s="26" t="s">
        <v>556</v>
      </c>
      <c r="D138" s="26" t="s">
        <v>557</v>
      </c>
      <c r="E138" s="26" t="s">
        <v>78</v>
      </c>
      <c r="F138" s="26" t="s">
        <v>147</v>
      </c>
      <c r="G138" s="26" t="s">
        <v>710</v>
      </c>
      <c r="H138" s="26" t="s">
        <v>728</v>
      </c>
      <c r="I138" s="26" t="s">
        <v>728</v>
      </c>
      <c r="J138" s="26" t="s">
        <v>560</v>
      </c>
      <c r="K138">
        <v>4</v>
      </c>
      <c r="L138">
        <v>3</v>
      </c>
      <c r="M138" s="26" t="s">
        <v>650</v>
      </c>
    </row>
    <row r="139" spans="1:13" x14ac:dyDescent="0.3">
      <c r="A139" s="26" t="s">
        <v>566</v>
      </c>
      <c r="B139" s="26" t="s">
        <v>567</v>
      </c>
      <c r="C139" s="26" t="s">
        <v>568</v>
      </c>
      <c r="D139" s="26" t="s">
        <v>147</v>
      </c>
      <c r="E139" s="26" t="s">
        <v>163</v>
      </c>
      <c r="F139" s="26" t="s">
        <v>728</v>
      </c>
      <c r="G139" s="26" t="s">
        <v>728</v>
      </c>
      <c r="H139" s="26" t="s">
        <v>728</v>
      </c>
      <c r="I139" s="26" t="s">
        <v>728</v>
      </c>
      <c r="J139" s="26" t="s">
        <v>431</v>
      </c>
      <c r="K139">
        <v>2</v>
      </c>
      <c r="L139">
        <v>2</v>
      </c>
      <c r="M139" s="26" t="s">
        <v>649</v>
      </c>
    </row>
    <row r="140" spans="1:13" x14ac:dyDescent="0.3">
      <c r="A140" s="26" t="s">
        <v>571</v>
      </c>
      <c r="B140" s="26" t="s">
        <v>570</v>
      </c>
      <c r="C140" s="26" t="s">
        <v>572</v>
      </c>
      <c r="D140" s="26" t="s">
        <v>78</v>
      </c>
      <c r="E140" s="26" t="s">
        <v>621</v>
      </c>
      <c r="F140" s="26" t="s">
        <v>557</v>
      </c>
      <c r="G140" s="26" t="s">
        <v>147</v>
      </c>
      <c r="H140" s="26" t="s">
        <v>728</v>
      </c>
      <c r="I140" s="26" t="s">
        <v>728</v>
      </c>
      <c r="J140" s="26" t="s">
        <v>513</v>
      </c>
      <c r="K140">
        <v>4</v>
      </c>
      <c r="L140">
        <v>3</v>
      </c>
      <c r="M140" s="26" t="s">
        <v>650</v>
      </c>
    </row>
    <row r="141" spans="1:13" x14ac:dyDescent="0.3">
      <c r="A141" s="26" t="s">
        <v>574</v>
      </c>
      <c r="B141" s="26" t="s">
        <v>575</v>
      </c>
      <c r="C141" s="26" t="s">
        <v>577</v>
      </c>
      <c r="D141" s="26" t="s">
        <v>164</v>
      </c>
      <c r="E141" s="26" t="s">
        <v>662</v>
      </c>
      <c r="F141" s="26" t="s">
        <v>728</v>
      </c>
      <c r="G141" s="26" t="s">
        <v>728</v>
      </c>
      <c r="H141" s="26" t="s">
        <v>728</v>
      </c>
      <c r="I141" s="26" t="s">
        <v>728</v>
      </c>
      <c r="J141" s="26" t="s">
        <v>578</v>
      </c>
      <c r="K141">
        <v>2</v>
      </c>
      <c r="L141">
        <v>2</v>
      </c>
      <c r="M141" s="26" t="s">
        <v>650</v>
      </c>
    </row>
    <row r="142" spans="1:13" x14ac:dyDescent="0.3">
      <c r="A142" s="26" t="s">
        <v>579</v>
      </c>
      <c r="B142" s="26" t="s">
        <v>580</v>
      </c>
      <c r="C142" s="26" t="s">
        <v>581</v>
      </c>
      <c r="D142" s="26" t="s">
        <v>461</v>
      </c>
      <c r="E142" s="26" t="s">
        <v>739</v>
      </c>
      <c r="F142" s="26" t="s">
        <v>147</v>
      </c>
      <c r="G142" s="26" t="s">
        <v>728</v>
      </c>
      <c r="H142" s="26" t="s">
        <v>728</v>
      </c>
      <c r="I142" s="26" t="s">
        <v>728</v>
      </c>
      <c r="J142" s="26" t="s">
        <v>583</v>
      </c>
      <c r="K142">
        <v>3</v>
      </c>
      <c r="L142">
        <v>3</v>
      </c>
      <c r="M142" s="26" t="s">
        <v>650</v>
      </c>
    </row>
    <row r="143" spans="1:13" x14ac:dyDescent="0.3">
      <c r="A143" s="26" t="s">
        <v>584</v>
      </c>
      <c r="B143" s="26" t="s">
        <v>585</v>
      </c>
      <c r="C143" s="26" t="s">
        <v>586</v>
      </c>
      <c r="D143" s="26" t="s">
        <v>461</v>
      </c>
      <c r="E143" s="26" t="s">
        <v>662</v>
      </c>
      <c r="F143" s="26" t="s">
        <v>588</v>
      </c>
      <c r="G143" s="26" t="s">
        <v>147</v>
      </c>
      <c r="H143" s="26" t="s">
        <v>728</v>
      </c>
      <c r="I143" s="26" t="s">
        <v>728</v>
      </c>
      <c r="J143" s="26" t="s">
        <v>587</v>
      </c>
      <c r="K143">
        <v>4</v>
      </c>
      <c r="L143">
        <v>3</v>
      </c>
      <c r="M143" s="26" t="s">
        <v>650</v>
      </c>
    </row>
    <row r="144" spans="1:13" x14ac:dyDescent="0.3">
      <c r="A144" s="26" t="s">
        <v>589</v>
      </c>
      <c r="B144" s="26" t="s">
        <v>590</v>
      </c>
      <c r="C144" s="26" t="s">
        <v>591</v>
      </c>
      <c r="D144" s="26" t="s">
        <v>147</v>
      </c>
      <c r="E144" s="26" t="s">
        <v>163</v>
      </c>
      <c r="F144" s="26" t="s">
        <v>728</v>
      </c>
      <c r="G144" s="26" t="s">
        <v>728</v>
      </c>
      <c r="H144" s="26" t="s">
        <v>728</v>
      </c>
      <c r="I144" s="26" t="s">
        <v>728</v>
      </c>
      <c r="J144" s="26" t="s">
        <v>744</v>
      </c>
      <c r="K144">
        <v>2</v>
      </c>
      <c r="L144">
        <v>2</v>
      </c>
      <c r="M144" s="26" t="s">
        <v>649</v>
      </c>
    </row>
    <row r="145" spans="1:13" x14ac:dyDescent="0.3">
      <c r="A145" s="26" t="s">
        <v>594</v>
      </c>
      <c r="B145" s="26" t="s">
        <v>595</v>
      </c>
      <c r="C145" s="26" t="s">
        <v>596</v>
      </c>
      <c r="D145" s="26" t="s">
        <v>461</v>
      </c>
      <c r="E145" s="26" t="s">
        <v>728</v>
      </c>
      <c r="F145" s="26" t="s">
        <v>728</v>
      </c>
      <c r="G145" s="26" t="s">
        <v>728</v>
      </c>
      <c r="H145" s="26" t="s">
        <v>728</v>
      </c>
      <c r="I145" s="26" t="s">
        <v>728</v>
      </c>
      <c r="J145" s="26" t="s">
        <v>431</v>
      </c>
      <c r="K145">
        <v>1</v>
      </c>
      <c r="L145">
        <v>2</v>
      </c>
      <c r="M145" s="26" t="s">
        <v>649</v>
      </c>
    </row>
    <row r="146" spans="1:13" x14ac:dyDescent="0.3">
      <c r="A146" s="26" t="s">
        <v>597</v>
      </c>
      <c r="B146" s="26" t="s">
        <v>598</v>
      </c>
      <c r="C146" s="26" t="s">
        <v>599</v>
      </c>
      <c r="D146" s="26" t="s">
        <v>461</v>
      </c>
      <c r="E146" s="26" t="s">
        <v>728</v>
      </c>
      <c r="F146" s="26" t="s">
        <v>728</v>
      </c>
      <c r="G146" s="26" t="s">
        <v>728</v>
      </c>
      <c r="H146" s="26" t="s">
        <v>728</v>
      </c>
      <c r="I146" s="26" t="s">
        <v>728</v>
      </c>
      <c r="J146" s="26" t="s">
        <v>728</v>
      </c>
      <c r="K146">
        <v>1</v>
      </c>
      <c r="L146">
        <v>0</v>
      </c>
      <c r="M146" s="26" t="s">
        <v>728</v>
      </c>
    </row>
    <row r="147" spans="1:13" x14ac:dyDescent="0.3">
      <c r="A147" s="26" t="s">
        <v>600</v>
      </c>
      <c r="B147" s="26" t="s">
        <v>601</v>
      </c>
      <c r="C147" s="26" t="s">
        <v>602</v>
      </c>
      <c r="D147" s="26" t="s">
        <v>637</v>
      </c>
      <c r="E147" s="26" t="s">
        <v>728</v>
      </c>
      <c r="F147" s="26" t="s">
        <v>728</v>
      </c>
      <c r="G147" s="26" t="s">
        <v>728</v>
      </c>
      <c r="H147" s="26" t="s">
        <v>728</v>
      </c>
      <c r="I147" s="26" t="s">
        <v>728</v>
      </c>
      <c r="J147" s="26" t="s">
        <v>728</v>
      </c>
      <c r="K147">
        <v>1</v>
      </c>
      <c r="L147">
        <v>0</v>
      </c>
      <c r="M147" s="26" t="s">
        <v>728</v>
      </c>
    </row>
    <row r="148" spans="1:13" x14ac:dyDescent="0.3">
      <c r="A148" s="26" t="s">
        <v>604</v>
      </c>
      <c r="B148" s="26" t="s">
        <v>605</v>
      </c>
      <c r="C148" s="26" t="s">
        <v>606</v>
      </c>
      <c r="D148" s="26" t="s">
        <v>557</v>
      </c>
      <c r="E148" s="26" t="s">
        <v>78</v>
      </c>
      <c r="F148" s="26" t="s">
        <v>147</v>
      </c>
      <c r="G148" s="26" t="s">
        <v>728</v>
      </c>
      <c r="H148" s="26" t="s">
        <v>728</v>
      </c>
      <c r="I148" s="26" t="s">
        <v>728</v>
      </c>
      <c r="J148" s="26" t="s">
        <v>608</v>
      </c>
      <c r="K148">
        <v>3</v>
      </c>
      <c r="L148">
        <v>3</v>
      </c>
      <c r="M148" s="26" t="s">
        <v>650</v>
      </c>
    </row>
    <row r="149" spans="1:13" x14ac:dyDescent="0.3">
      <c r="A149" s="26" t="s">
        <v>609</v>
      </c>
      <c r="B149" s="26" t="s">
        <v>610</v>
      </c>
      <c r="C149" s="26" t="s">
        <v>611</v>
      </c>
      <c r="D149" s="26" t="s">
        <v>147</v>
      </c>
      <c r="E149" s="26" t="s">
        <v>728</v>
      </c>
      <c r="F149" s="26" t="s">
        <v>728</v>
      </c>
      <c r="G149" s="26" t="s">
        <v>728</v>
      </c>
      <c r="H149" s="26" t="s">
        <v>728</v>
      </c>
      <c r="I149" s="26" t="s">
        <v>728</v>
      </c>
      <c r="J149" s="26" t="s">
        <v>181</v>
      </c>
      <c r="K149">
        <v>1</v>
      </c>
      <c r="L149">
        <v>2</v>
      </c>
      <c r="M149" s="26" t="s">
        <v>650</v>
      </c>
    </row>
    <row r="150" spans="1:13" x14ac:dyDescent="0.3">
      <c r="A150" s="26" t="s">
        <v>615</v>
      </c>
      <c r="B150" s="26" t="s">
        <v>616</v>
      </c>
      <c r="C150" s="26" t="s">
        <v>617</v>
      </c>
      <c r="D150" s="26" t="s">
        <v>142</v>
      </c>
      <c r="E150" s="26" t="s">
        <v>734</v>
      </c>
      <c r="F150" s="26" t="s">
        <v>728</v>
      </c>
      <c r="G150" s="26" t="s">
        <v>728</v>
      </c>
      <c r="H150" s="26" t="s">
        <v>728</v>
      </c>
      <c r="I150" s="26" t="s">
        <v>728</v>
      </c>
      <c r="J150" s="26" t="s">
        <v>171</v>
      </c>
      <c r="K150">
        <v>2</v>
      </c>
      <c r="L150">
        <v>1</v>
      </c>
      <c r="M150" s="26" t="s">
        <v>650</v>
      </c>
    </row>
    <row r="151" spans="1:13" x14ac:dyDescent="0.3">
      <c r="A151" s="26" t="s">
        <v>618</v>
      </c>
      <c r="B151" s="26" t="s">
        <v>619</v>
      </c>
      <c r="C151" s="26" t="s">
        <v>620</v>
      </c>
      <c r="D151" s="26" t="s">
        <v>621</v>
      </c>
      <c r="E151" s="26" t="s">
        <v>728</v>
      </c>
      <c r="F151" s="26" t="s">
        <v>728</v>
      </c>
      <c r="G151" s="26" t="s">
        <v>728</v>
      </c>
      <c r="H151" s="26" t="s">
        <v>728</v>
      </c>
      <c r="I151" s="26" t="s">
        <v>728</v>
      </c>
      <c r="J151" s="26" t="s">
        <v>175</v>
      </c>
      <c r="K151">
        <v>1</v>
      </c>
      <c r="L151">
        <v>2</v>
      </c>
      <c r="M151" s="26" t="s">
        <v>650</v>
      </c>
    </row>
    <row r="152" spans="1:13" x14ac:dyDescent="0.3">
      <c r="A152" s="26" t="s">
        <v>625</v>
      </c>
      <c r="B152" s="26" t="s">
        <v>626</v>
      </c>
      <c r="C152" s="26" t="s">
        <v>624</v>
      </c>
      <c r="D152" s="26" t="s">
        <v>147</v>
      </c>
      <c r="E152" s="26" t="s">
        <v>728</v>
      </c>
      <c r="F152" s="26" t="s">
        <v>728</v>
      </c>
      <c r="G152" s="26" t="s">
        <v>728</v>
      </c>
      <c r="H152" s="26" t="s">
        <v>728</v>
      </c>
      <c r="I152" s="26" t="s">
        <v>728</v>
      </c>
      <c r="J152" s="26" t="s">
        <v>175</v>
      </c>
      <c r="K152">
        <v>1</v>
      </c>
      <c r="L152">
        <v>2</v>
      </c>
      <c r="M152" s="26" t="s">
        <v>650</v>
      </c>
    </row>
    <row r="153" spans="1:13" x14ac:dyDescent="0.3">
      <c r="A153" s="26" t="s">
        <v>628</v>
      </c>
      <c r="B153" s="26" t="s">
        <v>629</v>
      </c>
      <c r="C153" s="26" t="s">
        <v>630</v>
      </c>
      <c r="D153" s="26" t="s">
        <v>147</v>
      </c>
      <c r="E153" s="26" t="s">
        <v>728</v>
      </c>
      <c r="F153" s="26" t="s">
        <v>728</v>
      </c>
      <c r="G153" s="26" t="s">
        <v>728</v>
      </c>
      <c r="H153" s="26" t="s">
        <v>728</v>
      </c>
      <c r="I153" s="26" t="s">
        <v>728</v>
      </c>
      <c r="J153" s="26" t="s">
        <v>441</v>
      </c>
      <c r="K153">
        <v>1</v>
      </c>
      <c r="L153">
        <v>2</v>
      </c>
      <c r="M153" s="26" t="s">
        <v>650</v>
      </c>
    </row>
    <row r="154" spans="1:13" x14ac:dyDescent="0.3">
      <c r="A154" s="26" t="s">
        <v>632</v>
      </c>
      <c r="B154" s="26" t="s">
        <v>633</v>
      </c>
      <c r="C154" s="26" t="s">
        <v>631</v>
      </c>
      <c r="D154" s="26" t="s">
        <v>705</v>
      </c>
      <c r="E154" s="26" t="s">
        <v>728</v>
      </c>
      <c r="F154" s="26" t="s">
        <v>728</v>
      </c>
      <c r="G154" s="26" t="s">
        <v>728</v>
      </c>
      <c r="H154" s="26" t="s">
        <v>728</v>
      </c>
      <c r="I154" s="26" t="s">
        <v>728</v>
      </c>
      <c r="J154" s="26" t="s">
        <v>159</v>
      </c>
      <c r="K154">
        <v>1</v>
      </c>
      <c r="L154">
        <v>1</v>
      </c>
      <c r="M154" s="26" t="s">
        <v>650</v>
      </c>
    </row>
    <row r="155" spans="1:13" x14ac:dyDescent="0.3">
      <c r="A155" s="26" t="s">
        <v>634</v>
      </c>
      <c r="B155" s="26" t="s">
        <v>635</v>
      </c>
      <c r="C155" s="26" t="s">
        <v>636</v>
      </c>
      <c r="D155" s="26" t="s">
        <v>637</v>
      </c>
      <c r="E155" s="26" t="s">
        <v>728</v>
      </c>
      <c r="F155" s="26" t="s">
        <v>728</v>
      </c>
      <c r="G155" s="26" t="s">
        <v>728</v>
      </c>
      <c r="H155" s="26" t="s">
        <v>728</v>
      </c>
      <c r="I155" s="26" t="s">
        <v>728</v>
      </c>
      <c r="J155" s="26" t="s">
        <v>728</v>
      </c>
      <c r="K155">
        <v>1</v>
      </c>
      <c r="L155">
        <v>0</v>
      </c>
      <c r="M155" s="26" t="s">
        <v>649</v>
      </c>
    </row>
    <row r="156" spans="1:13" x14ac:dyDescent="0.3">
      <c r="A156" s="26" t="s">
        <v>644</v>
      </c>
      <c r="B156" s="26" t="s">
        <v>645</v>
      </c>
      <c r="C156" s="26" t="s">
        <v>646</v>
      </c>
      <c r="D156" s="26" t="s">
        <v>164</v>
      </c>
      <c r="E156" s="26" t="s">
        <v>728</v>
      </c>
      <c r="F156" s="26" t="s">
        <v>728</v>
      </c>
      <c r="G156" s="26" t="s">
        <v>728</v>
      </c>
      <c r="H156" s="26" t="s">
        <v>728</v>
      </c>
      <c r="I156" s="26" t="s">
        <v>728</v>
      </c>
      <c r="J156" s="26" t="s">
        <v>647</v>
      </c>
      <c r="K156">
        <v>1</v>
      </c>
      <c r="L156">
        <v>3</v>
      </c>
      <c r="M156" s="26" t="s">
        <v>650</v>
      </c>
    </row>
    <row r="157" spans="1:13" x14ac:dyDescent="0.3">
      <c r="A157" s="26" t="s">
        <v>696</v>
      </c>
      <c r="B157" s="26" t="s">
        <v>745</v>
      </c>
      <c r="C157" s="26" t="s">
        <v>698</v>
      </c>
      <c r="D157" s="26" t="s">
        <v>461</v>
      </c>
      <c r="E157" s="26" t="s">
        <v>728</v>
      </c>
      <c r="F157" s="26" t="s">
        <v>728</v>
      </c>
      <c r="G157" s="26" t="s">
        <v>728</v>
      </c>
      <c r="H157" s="26" t="s">
        <v>728</v>
      </c>
      <c r="I157" s="26" t="s">
        <v>728</v>
      </c>
      <c r="J157" s="26" t="s">
        <v>431</v>
      </c>
      <c r="K157">
        <v>1</v>
      </c>
      <c r="L157">
        <v>2</v>
      </c>
      <c r="M157" s="26" t="s">
        <v>650</v>
      </c>
    </row>
    <row r="158" spans="1:13" x14ac:dyDescent="0.3">
      <c r="A158" s="26" t="s">
        <v>699</v>
      </c>
      <c r="B158" s="26" t="s">
        <v>746</v>
      </c>
      <c r="C158" s="26" t="s">
        <v>701</v>
      </c>
      <c r="D158" s="26" t="s">
        <v>705</v>
      </c>
      <c r="E158" s="26" t="s">
        <v>164</v>
      </c>
      <c r="F158" s="26" t="s">
        <v>728</v>
      </c>
      <c r="G158" s="26" t="s">
        <v>728</v>
      </c>
      <c r="H158" s="26" t="s">
        <v>728</v>
      </c>
      <c r="I158" s="26" t="s">
        <v>728</v>
      </c>
      <c r="J158" s="26" t="s">
        <v>578</v>
      </c>
      <c r="K158">
        <v>2</v>
      </c>
      <c r="L158">
        <v>2</v>
      </c>
      <c r="M158" s="26" t="s">
        <v>650</v>
      </c>
    </row>
    <row r="159" spans="1:13" x14ac:dyDescent="0.3">
      <c r="A159" s="26" t="s">
        <v>702</v>
      </c>
      <c r="B159" s="26" t="s">
        <v>703</v>
      </c>
      <c r="C159" s="26" t="s">
        <v>747</v>
      </c>
      <c r="D159" s="26" t="s">
        <v>705</v>
      </c>
      <c r="E159" s="26" t="s">
        <v>164</v>
      </c>
      <c r="F159" s="26" t="s">
        <v>728</v>
      </c>
      <c r="G159" s="26" t="s">
        <v>728</v>
      </c>
      <c r="H159" s="26" t="s">
        <v>728</v>
      </c>
      <c r="I159" s="26" t="s">
        <v>728</v>
      </c>
      <c r="J159" s="26" t="s">
        <v>578</v>
      </c>
      <c r="K159">
        <v>2</v>
      </c>
      <c r="L159">
        <v>2</v>
      </c>
      <c r="M159" s="26" t="s">
        <v>650</v>
      </c>
    </row>
    <row r="160" spans="1:13" x14ac:dyDescent="0.3">
      <c r="A160" s="26" t="s">
        <v>706</v>
      </c>
      <c r="B160" s="26" t="s">
        <v>748</v>
      </c>
      <c r="C160" s="26" t="s">
        <v>708</v>
      </c>
      <c r="D160" s="26" t="s">
        <v>461</v>
      </c>
      <c r="E160" s="26" t="s">
        <v>728</v>
      </c>
      <c r="F160" s="26" t="s">
        <v>728</v>
      </c>
      <c r="G160" s="26" t="s">
        <v>728</v>
      </c>
      <c r="H160" s="26" t="s">
        <v>728</v>
      </c>
      <c r="I160" s="26" t="s">
        <v>728</v>
      </c>
      <c r="J160" s="26" t="s">
        <v>493</v>
      </c>
      <c r="K160">
        <v>1</v>
      </c>
      <c r="L160">
        <v>2</v>
      </c>
      <c r="M160" s="26" t="s">
        <v>650</v>
      </c>
    </row>
    <row r="161" spans="1:13" x14ac:dyDescent="0.3">
      <c r="A161" s="26" t="s">
        <v>709</v>
      </c>
      <c r="B161" s="26" t="s">
        <v>749</v>
      </c>
      <c r="C161" s="26" t="s">
        <v>713</v>
      </c>
      <c r="D161" s="26" t="s">
        <v>147</v>
      </c>
      <c r="E161" s="26" t="s">
        <v>710</v>
      </c>
      <c r="F161" s="26" t="s">
        <v>711</v>
      </c>
      <c r="G161" s="26" t="s">
        <v>728</v>
      </c>
      <c r="H161" s="26" t="s">
        <v>728</v>
      </c>
      <c r="I161" s="26" t="s">
        <v>728</v>
      </c>
      <c r="J161" s="26" t="s">
        <v>181</v>
      </c>
      <c r="K161">
        <v>3</v>
      </c>
      <c r="L161">
        <v>2</v>
      </c>
      <c r="M161" s="26" t="s">
        <v>650</v>
      </c>
    </row>
    <row r="162" spans="1:13" x14ac:dyDescent="0.3">
      <c r="A162" s="26" t="s">
        <v>714</v>
      </c>
      <c r="B162" s="26" t="s">
        <v>750</v>
      </c>
      <c r="C162" s="26" t="s">
        <v>717</v>
      </c>
      <c r="D162" s="26" t="s">
        <v>705</v>
      </c>
      <c r="E162" s="26" t="s">
        <v>728</v>
      </c>
      <c r="F162" s="26" t="s">
        <v>728</v>
      </c>
      <c r="G162" s="26" t="s">
        <v>728</v>
      </c>
      <c r="H162" s="26" t="s">
        <v>728</v>
      </c>
      <c r="I162" s="26" t="s">
        <v>728</v>
      </c>
      <c r="J162" s="26" t="s">
        <v>159</v>
      </c>
      <c r="K162">
        <v>1</v>
      </c>
      <c r="L162">
        <v>1</v>
      </c>
      <c r="M162" s="26" t="s">
        <v>650</v>
      </c>
    </row>
    <row r="163" spans="1:13" x14ac:dyDescent="0.3">
      <c r="A163" s="26" t="s">
        <v>718</v>
      </c>
      <c r="B163" s="26" t="s">
        <v>751</v>
      </c>
      <c r="C163" s="26" t="s">
        <v>721</v>
      </c>
      <c r="D163" s="26" t="s">
        <v>142</v>
      </c>
      <c r="E163" s="26" t="s">
        <v>720</v>
      </c>
      <c r="F163" s="26" t="s">
        <v>728</v>
      </c>
      <c r="G163" s="26" t="s">
        <v>728</v>
      </c>
      <c r="H163" s="26" t="s">
        <v>728</v>
      </c>
      <c r="I163" s="26" t="s">
        <v>728</v>
      </c>
      <c r="J163" s="26" t="s">
        <v>752</v>
      </c>
      <c r="K163">
        <v>2</v>
      </c>
      <c r="L163">
        <v>3</v>
      </c>
      <c r="M163" s="26" t="s">
        <v>649</v>
      </c>
    </row>
    <row r="164" spans="1:13" x14ac:dyDescent="0.3">
      <c r="A164" s="26" t="s">
        <v>722</v>
      </c>
      <c r="B164" s="26" t="s">
        <v>753</v>
      </c>
      <c r="C164" s="26" t="s">
        <v>725</v>
      </c>
      <c r="D164" s="26" t="s">
        <v>142</v>
      </c>
      <c r="E164" s="26" t="s">
        <v>728</v>
      </c>
      <c r="F164" s="26" t="s">
        <v>728</v>
      </c>
      <c r="G164" s="26" t="s">
        <v>728</v>
      </c>
      <c r="H164" s="26" t="s">
        <v>728</v>
      </c>
      <c r="I164" s="26" t="s">
        <v>728</v>
      </c>
      <c r="J164" s="26" t="s">
        <v>675</v>
      </c>
      <c r="K164">
        <v>1</v>
      </c>
      <c r="L164">
        <v>2</v>
      </c>
      <c r="M164" s="26" t="s">
        <v>649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A37781-70AD-4032-96F2-8DFE612B8E2D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4e32bd2a-1ccd-49c1-a814-de8553946415}" enabled="1" method="Standard" siteId="{22136781-9753-4c75-af28-68a078871e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EvaluatedRefactorings</vt:lpstr>
      <vt:lpstr>TruePositiveCommitsClean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Gregory, Tyler Michael</dc:creator>
  <cp:lastModifiedBy>Ty Gregory</cp:lastModifiedBy>
  <dcterms:created xsi:type="dcterms:W3CDTF">2025-09-11T21:05:34Z</dcterms:created>
  <dcterms:modified xsi:type="dcterms:W3CDTF">2026-01-27T04:09:27Z</dcterms:modified>
</cp:coreProperties>
</file>